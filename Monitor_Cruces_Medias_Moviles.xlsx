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1"/>
  </bookViews>
  <sheets>
    <sheet sheetId="1" name="Instrucciones" state="visible" r:id="rId4"/>
    <sheet sheetId="2" name="Monitorizacion" state="visible" r:id="rId5"/>
    <sheet sheetId="3" name="Niveles_Importancia" state="visible" r:id="rId6"/>
    <sheet sheetId="4" name="Universo_Activos" state="visible" r:id="rId7"/>
    <sheet sheetId="5" name="Historico_Alertas" state="visible" r:id="rId8"/>
  </sheets>
  <definedNames>
    <definedName name="_xlnm._FilterDatabase">'Historico_Alertas'!$A$4:$K$64</definedName>
  </definedNames>
  <calcPr calcId="171027"/>
</workbook>
</file>

<file path=xl/sharedStrings.xml><?xml version="1.0" encoding="utf-8"?>
<sst xmlns="http://schemas.openxmlformats.org/spreadsheetml/2006/main" count="10468" uniqueCount="3095">
  <si>
    <t>MONITOR DE CRUCES DE MEDIAS MÓVILES — GUÍA RÁPIDA</t>
  </si>
  <si>
    <t>Este libro es una PLANTILLA FUNCIONAL con datos SIMULADOS (celdas en azul/amarillo).</t>
  </si>
  <si>
    <t>No contiene cotizaciones reales. Sustituye los datos simulados por una conexión real</t>
  </si>
  <si>
    <t>(Power Query / API / bróker) siguiendo la especificación técnica adjunta (documento Word).</t>
  </si>
  <si>
    <t>HOJAS DEL LIBRO</t>
  </si>
  <si>
    <t>1. Monitorización        → tabla principal de activos, medias móviles y alertas recientes.</t>
  </si>
  <si>
    <t>2. Niveles_Importancia   → reglas que definen la importancia de cada tipo de cruce.</t>
  </si>
  <si>
    <t>3. Universo_Activos      → listado maestro de activos seleccionables (plantilla a 1000 filas).</t>
  </si>
  <si>
    <t>4. Historico_Alertas     → registro consolidado de todos los cruces detectados.</t>
  </si>
  <si>
    <t>CÓMO AÑADIR/QUITAR UN ACTIVO</t>
  </si>
  <si>
    <r>
      <rPr>
        <charset val="1"/>
        <sz val="10"/>
        <rFont val="Arial"/>
      </rPr>
      <t xml:space="preserve">  - En 'Monitorización', columna 'Nombre (seleccionar)', usa la lista desplegable</t>
    </r>
    <r>
      <rPr>
        <family val="2"/>
        <sz val="10"/>
        <rFont val="Noto Sans CJK SC"/>
      </rPr>
      <t>：</t>
    </r>
  </si>
  <si>
    <t xml:space="preserve">    solo permite elegir activos ya dados de alta en 'Universo_Activos' con Estado = Activo.</t>
  </si>
  <si>
    <t xml:space="preserve">  - Para borrar un activo del monitor, borra la fila completa de la tabla de Monitorización.</t>
  </si>
  <si>
    <t xml:space="preserve">  - Para añadir un activo nuevo al universo, ve a 'Universo_Activos' y añade una fila con</t>
  </si>
  <si>
    <t xml:space="preserve">    Categoría, Mercado, Nombre, Ticker, ISIN, Divisa, Fuente de datos y Estado = Activo.</t>
  </si>
  <si>
    <t>CÓMO CAMBIAR LAS MEDIAS MÓVILES</t>
  </si>
  <si>
    <t xml:space="preserve">  - En 'Monitorización', celdas B4:C7, elige el Tipo (SMA/EMA/WMA/SMMA) y el Periodo</t>
  </si>
  <si>
    <t xml:space="preserve">    de cada una de las 4 medias configurables. Estos parámetros son GLOBALES: se aplican</t>
  </si>
  <si>
    <t xml:space="preserve">    a todos los activos y a los 4 time frames (15m, 30m, 1h, 4h).</t>
  </si>
  <si>
    <t xml:space="preserve">  - El cálculo real de la media (SMA/EMA/WMA/SMMA) debe hacerlo el proveedor de datos o</t>
  </si>
  <si>
    <t xml:space="preserve">    Power Query sobre el histórico de velas; en esta plantilla los valores de cada media</t>
  </si>
  <si>
    <t xml:space="preserve">    son datos simulados de ejemplo (celdas azules) listos para ser sustituidos por fórmulas</t>
  </si>
  <si>
    <t xml:space="preserve">    conectadas a datos reales (ver documento técnico, sección 'Cálculo de medias móviles').</t>
  </si>
  <si>
    <t>CÓMO CAMBIAR LOS NIVELES DE IMPORTANCIA</t>
  </si>
  <si>
    <t xml:space="preserve">  - Ve a 'Niveles_Importancia' y edita/añade filas. Cada regla define qué combinación de</t>
  </si>
  <si>
    <t xml:space="preserve">    elemento 1 + elemento 2 + time frame corresponde a qué nivel. Los desplegables evitan</t>
  </si>
  <si>
    <t xml:space="preserve">    errores de escritura. Si un cruce detectado no coincide con ninguna regla, se le asigna</t>
  </si>
  <si>
    <t xml:space="preserve">    automáticamente 'Sin clasificar'.</t>
  </si>
  <si>
    <t>CÓMO SE ACTUALIZAN LOS DATOS</t>
  </si>
  <si>
    <t xml:space="preserve">  - Datos simulados: edítalos manualmente para probar el sistema (verás cómo cambian las</t>
  </si>
  <si>
    <t xml:space="preserve">    alertas de 'Cruces recientes' y el 'Historico_Alertas').</t>
  </si>
  <si>
    <t xml:space="preserve">  - Datos reales: sustituir las columnas de precio/medias por conexiones de Power Query o</t>
  </si>
  <si>
    <t xml:space="preserve">    resultados de una macro VBA que llame a la API del proveedor de datos elegido. La</t>
  </si>
  <si>
    <t xml:space="preserve">    estructura de columnas NO debe modificarse para que las fórmulas de detección de</t>
  </si>
  <si>
    <t xml:space="preserve">    cruces sigan funcionando. Ver el documento técnico adjunto para el código VBA completo.</t>
  </si>
  <si>
    <t>IMPORTANTE</t>
  </si>
  <si>
    <t xml:space="preserve">  - Las celdas AZULES son datos de entrada (hardcode o conexión externa).</t>
  </si>
  <si>
    <t xml:space="preserve">  - Las celdas NEGRAS son fórmulas; no las sobrescribas.</t>
  </si>
  <si>
    <t xml:space="preserve">  - Las celdas con fondo AMARILLO requieren tu atención o configuración.</t>
  </si>
  <si>
    <t>MONITOR DE CRUCES DE MEDIAS MOVILES</t>
  </si>
  <si>
    <t>Configuracion global de las 4 medias moviles (se aplican a todos los activos y time frames):</t>
  </si>
  <si>
    <t>Media</t>
  </si>
  <si>
    <t>Tipo</t>
  </si>
  <si>
    <t>Periodo</t>
  </si>
  <si>
    <t>Etiqueta</t>
  </si>
  <si>
    <t>MA 1</t>
  </si>
  <si>
    <t>EMA</t>
  </si>
  <si>
    <t>MA 2</t>
  </si>
  <si>
    <t>MA 3</t>
  </si>
  <si>
    <t>MA 4</t>
  </si>
  <si>
    <t>No</t>
  </si>
  <si>
    <t>Nombre (seleccionar)</t>
  </si>
  <si>
    <t>Categoria</t>
  </si>
  <si>
    <t>Mercado</t>
  </si>
  <si>
    <t>Ticker</t>
  </si>
  <si>
    <t>ISIN</t>
  </si>
  <si>
    <t>Precio actual</t>
  </si>
  <si>
    <t>% Dia</t>
  </si>
  <si>
    <t>% Semana</t>
  </si>
  <si>
    <t>% Mes</t>
  </si>
  <si>
    <t>% Ano</t>
  </si>
  <si>
    <t>% 12M</t>
  </si>
  <si>
    <t>Precio 15m (act)</t>
  </si>
  <si>
    <t>Precio 15m (ant)</t>
  </si>
  <si>
    <t>MA1 15m (act)</t>
  </si>
  <si>
    <t>MA1 15m (ant)</t>
  </si>
  <si>
    <t>MA2 15m (act)</t>
  </si>
  <si>
    <t>MA2 15m (ant)</t>
  </si>
  <si>
    <t>MA3 15m (act)</t>
  </si>
  <si>
    <t>MA3 15m (ant)</t>
  </si>
  <si>
    <t>MA4 15m (act)</t>
  </si>
  <si>
    <t>MA4 15m (ant)</t>
  </si>
  <si>
    <t>Cruce Vela/MA1 15m</t>
  </si>
  <si>
    <t>Cruce MA1/MA2 15m</t>
  </si>
  <si>
    <t>Precio 1h (act)</t>
  </si>
  <si>
    <t>Precio 1h (ant)</t>
  </si>
  <si>
    <t>MA1 1h (act)</t>
  </si>
  <si>
    <t>MA1 1h (ant)</t>
  </si>
  <si>
    <t>MA2 1h (act)</t>
  </si>
  <si>
    <t>MA2 1h (ant)</t>
  </si>
  <si>
    <t>MA3 1h (act)</t>
  </si>
  <si>
    <t>MA3 1h (ant)</t>
  </si>
  <si>
    <t>MA4 1h (act)</t>
  </si>
  <si>
    <t>MA4 1h (ant)</t>
  </si>
  <si>
    <t>Cruce Vela/MA1 1h</t>
  </si>
  <si>
    <t>Cruce MA1/MA2 1h</t>
  </si>
  <si>
    <t>Nivel importancia</t>
  </si>
  <si>
    <t>Mensaje generado</t>
  </si>
  <si>
    <t>ID unico (dedup)</t>
  </si>
  <si>
    <t>Euro / Dolar</t>
  </si>
  <si>
    <t>Libra / Dolar</t>
  </si>
  <si>
    <t>Dolar / Yen</t>
  </si>
  <si>
    <t>Dolar AUS / Dolar</t>
  </si>
  <si>
    <t>Dolar / Dolar CAD</t>
  </si>
  <si>
    <t>Dolar / Franco</t>
  </si>
  <si>
    <t>Dolar NZ / Dolar</t>
  </si>
  <si>
    <t>Euro / Libra</t>
  </si>
  <si>
    <t>Banco Santander</t>
  </si>
  <si>
    <t>BBVA</t>
  </si>
  <si>
    <t>Iberdrola</t>
  </si>
  <si>
    <t>Inditex</t>
  </si>
  <si>
    <t>Telefónica</t>
  </si>
  <si>
    <t>Repsol</t>
  </si>
  <si>
    <t xml:space="preserve">CaixaBank </t>
  </si>
  <si>
    <t>Banco Sabadell</t>
  </si>
  <si>
    <t>ACS</t>
  </si>
  <si>
    <t>ArcelorMittal</t>
  </si>
  <si>
    <t>Bankinter</t>
  </si>
  <si>
    <t>Aena</t>
  </si>
  <si>
    <t>Naturgy</t>
  </si>
  <si>
    <t>Mapfre</t>
  </si>
  <si>
    <t>Acciona</t>
  </si>
  <si>
    <t>Indra</t>
  </si>
  <si>
    <t>IAG</t>
  </si>
  <si>
    <t>Unicaja Banco</t>
  </si>
  <si>
    <t>Acerinox</t>
  </si>
  <si>
    <t>Bitcoin</t>
  </si>
  <si>
    <t>Ethereum</t>
  </si>
  <si>
    <t>Tether</t>
  </si>
  <si>
    <t>Solana</t>
  </si>
  <si>
    <t>Ripple</t>
  </si>
  <si>
    <t>Dogecoin</t>
  </si>
  <si>
    <t>Cardano</t>
  </si>
  <si>
    <t>Litecoin</t>
  </si>
  <si>
    <t>Oro (Futuro)</t>
  </si>
  <si>
    <t>Plata (Futuro)</t>
  </si>
  <si>
    <t>Gas Natural (Futuro)</t>
  </si>
  <si>
    <t>Petroleo WTI (Futuro)</t>
  </si>
  <si>
    <t>Cafe Arabica (Futuro)</t>
  </si>
  <si>
    <t>Trigo (Futuro)</t>
  </si>
  <si>
    <t xml:space="preserve">Siemens AG </t>
  </si>
  <si>
    <t xml:space="preserve">Deutsche Bank AG </t>
  </si>
  <si>
    <t xml:space="preserve">Mercedes-Benz Group AG </t>
  </si>
  <si>
    <t xml:space="preserve">Volkswagen AG Pref </t>
  </si>
  <si>
    <t xml:space="preserve">Bayerische Motoren Werke AG </t>
  </si>
  <si>
    <t xml:space="preserve">BASF SE </t>
  </si>
  <si>
    <t xml:space="preserve">Bayer AG </t>
  </si>
  <si>
    <t>Apple</t>
  </si>
  <si>
    <t>Microsoft</t>
  </si>
  <si>
    <t>NVIDIA</t>
  </si>
  <si>
    <t>Amazon</t>
  </si>
  <si>
    <t>Alphabet Class A</t>
  </si>
  <si>
    <t>Meta Platforms</t>
  </si>
  <si>
    <t>Berkshire Hathaway B</t>
  </si>
  <si>
    <t>Broadcom</t>
  </si>
  <si>
    <t>Tesla</t>
  </si>
  <si>
    <t>Exxon Mobil</t>
  </si>
  <si>
    <t>UnitedHealth Group</t>
  </si>
  <si>
    <t>Netflix</t>
  </si>
  <si>
    <t>Johnson &amp; Johnson</t>
  </si>
  <si>
    <t>AbbVie</t>
  </si>
  <si>
    <t>Bank of America</t>
  </si>
  <si>
    <t>Coca-Cola</t>
  </si>
  <si>
    <t>Intel</t>
  </si>
  <si>
    <t>Goldman Sachs</t>
  </si>
  <si>
    <t>Nike</t>
  </si>
  <si>
    <t>SoFi Technologies</t>
  </si>
  <si>
    <t>Sprouts Farmers Market</t>
  </si>
  <si>
    <t>Fabrinet</t>
  </si>
  <si>
    <t>Toyota Motor</t>
  </si>
  <si>
    <t>Sony Group</t>
  </si>
  <si>
    <t>Keyence</t>
  </si>
  <si>
    <t>Mitsubishi UFJ Financial Group</t>
  </si>
  <si>
    <t>SoftBank Group</t>
  </si>
  <si>
    <t>Nintendo</t>
  </si>
  <si>
    <t>AstraZeneca</t>
  </si>
  <si>
    <t>Shell</t>
  </si>
  <si>
    <t>HSBC Holdings</t>
  </si>
  <si>
    <t>Unilever</t>
  </si>
  <si>
    <t>BP</t>
  </si>
  <si>
    <t>Rio Tinto</t>
  </si>
  <si>
    <t>Vodafone Group</t>
  </si>
  <si>
    <t>Enel</t>
  </si>
  <si>
    <t>Eni</t>
  </si>
  <si>
    <t>Intesa Sanpaolo</t>
  </si>
  <si>
    <t>UniCredit</t>
  </si>
  <si>
    <t>LVMH Moët Hennessy Louis Vuitton</t>
  </si>
  <si>
    <t>L'Oréal</t>
  </si>
  <si>
    <t>TotalEnergies</t>
  </si>
  <si>
    <t>Sanofi</t>
  </si>
  <si>
    <t>Schneider Electric</t>
  </si>
  <si>
    <t>Air Liquide</t>
  </si>
  <si>
    <t>BNP Paribas</t>
  </si>
  <si>
    <t>Axa</t>
  </si>
  <si>
    <t>Saint-Gobain</t>
  </si>
  <si>
    <t>Safran</t>
  </si>
  <si>
    <t>ASML Holding</t>
  </si>
  <si>
    <t>Prosus</t>
  </si>
  <si>
    <t>Adyen</t>
  </si>
  <si>
    <t>Fecha/Hora</t>
  </si>
  <si>
    <t>Activo</t>
  </si>
  <si>
    <t>Time Frame</t>
  </si>
  <si>
    <t>Tipo de cruce</t>
  </si>
  <si>
    <t>Direccion</t>
  </si>
  <si>
    <t>Nivel</t>
  </si>
  <si>
    <t>Mensaje</t>
  </si>
  <si>
    <t>Define aquí las reglas de importancia. Si un cruce no coincide con ninguna regla → 'Sin clasificar'.</t>
  </si>
  <si>
    <t>Tipo Elemento 1</t>
  </si>
  <si>
    <t>Elemento 1</t>
  </si>
  <si>
    <t>Tipo Elemento 2</t>
  </si>
  <si>
    <t>Elemento 2</t>
  </si>
  <si>
    <t>Descripción</t>
  </si>
  <si>
    <t>Clave (uso interno)</t>
  </si>
  <si>
    <t>Media móvil</t>
  </si>
  <si>
    <t>EMA 9</t>
  </si>
  <si>
    <t>EMA 20</t>
  </si>
  <si>
    <t>15 min</t>
  </si>
  <si>
    <t>Nivel 1: EMA 9 cruza EMA 20 en 15 min</t>
  </si>
  <si>
    <t>EMA 9|EMA 20|15 min</t>
  </si>
  <si>
    <t>1 hora</t>
  </si>
  <si>
    <t>Nivel 1: EMA 9 cruza EMA 20 en 1 hora</t>
  </si>
  <si>
    <t>EMA 9|EMA 20|1 hora</t>
  </si>
  <si>
    <t>4 horas</t>
  </si>
  <si>
    <t>Nivel 1: EMA 9 cruza EMA 20 en 4 horas</t>
  </si>
  <si>
    <t>EMA 9|EMA 20|4 horas</t>
  </si>
  <si>
    <t>EMA 50</t>
  </si>
  <si>
    <t>Nivel 2: EMA 9 cruza EMA 50 en 15 min</t>
  </si>
  <si>
    <t>EMA 9|EMA 50|15 min</t>
  </si>
  <si>
    <t>Nivel 2: EMA 9 cruza EMA 50 en 1 hora</t>
  </si>
  <si>
    <t>EMA 9|EMA 50|1 hora</t>
  </si>
  <si>
    <t>Nivel 2: EMA 9 cruza EMA 50 en 4 horas</t>
  </si>
  <si>
    <t>EMA 9|EMA 50|4 horas</t>
  </si>
  <si>
    <t>EMA 150</t>
  </si>
  <si>
    <t>Nivel 3: EMA 9 cruza EMA 150 en 15 min</t>
  </si>
  <si>
    <t>EMA 9|EMA 150|15 min</t>
  </si>
  <si>
    <t>Nivel 3: EMA 9 cruza EMA 150 en 1 hora</t>
  </si>
  <si>
    <t>EMA 9|EMA 150|1 hora</t>
  </si>
  <si>
    <t>Nivel 3: EMA 9 cruza EMA 150 en 4 horas</t>
  </si>
  <si>
    <t>EMA 9|EMA 150|4 horas</t>
  </si>
  <si>
    <t>Nivel 4: EMA 20 cruza EMA 50 en 15 min</t>
  </si>
  <si>
    <t>EMA 20|EMA 50|15 min</t>
  </si>
  <si>
    <t>Nivel 4: EMA 20 cruza EMA 50 en 1 hora</t>
  </si>
  <si>
    <t>EMA 20|EMA 50|1 hora</t>
  </si>
  <si>
    <t>Nivel 4: EMA 20 cruza EMA 50 en 4 horas</t>
  </si>
  <si>
    <t>EMA 20|EMA 50|4 horas</t>
  </si>
  <si>
    <t>Nivel 5: EMA 20 cruza EMA 150 en 15 min</t>
  </si>
  <si>
    <t>EMA 20|EMA 150|15 min</t>
  </si>
  <si>
    <t>Nivel 5: EMA 20 cruza EMA 150 en 1 hora</t>
  </si>
  <si>
    <t>EMA 20|EMA 150|1 hora</t>
  </si>
  <si>
    <t>Nivel 5: EMA 20 cruza EMA 150 en 4 horas</t>
  </si>
  <si>
    <t>EMA 20|EMA 150|4 horas</t>
  </si>
  <si>
    <t>Nivel 6: EMA 50 cruza EMA 150 en 15 min</t>
  </si>
  <si>
    <t>EMA 50|EMA 150|15 min</t>
  </si>
  <si>
    <t>Nivel 6: EMA 50 cruza EMA 150 en 1 hora</t>
  </si>
  <si>
    <t>EMA 50|EMA 150|1 hora</t>
  </si>
  <si>
    <t>Nivel 6: EMA 50 cruza EMA 150 en 4 horas</t>
  </si>
  <si>
    <t>EMA 50|EMA 150|4 horas</t>
  </si>
  <si>
    <t>EMA 200</t>
  </si>
  <si>
    <t>Vela</t>
  </si>
  <si>
    <t>Universo maestro de activos seleccionables. Filas PENDIENTE de vincular son plantilla: sustituir Nombre/Ticker/ISIN por el activo real y cambiar Estado a Activo antes de usarlo.</t>
  </si>
  <si>
    <t>Mercado/Bolsa</t>
  </si>
  <si>
    <t>Nombre del activo</t>
  </si>
  <si>
    <t>Ticker/Simbolo</t>
  </si>
  <si>
    <t>Divisa</t>
  </si>
  <si>
    <t>Fuente de datos recomendada</t>
  </si>
  <si>
    <t>Estado</t>
  </si>
  <si>
    <t>Acciones Espana</t>
  </si>
  <si>
    <t>BME (Madrid)</t>
  </si>
  <si>
    <t>ITX.MC</t>
  </si>
  <si>
    <t>ES0148396007</t>
  </si>
  <si>
    <t>EUR</t>
  </si>
  <si>
    <t>Proveedor API (a configurar)</t>
  </si>
  <si>
    <t>IBE.MC</t>
  </si>
  <si>
    <t>ES0144580Y14</t>
  </si>
  <si>
    <t>SAN.MC</t>
  </si>
  <si>
    <t>ES0113900J37</t>
  </si>
  <si>
    <t>Acciones Europa</t>
  </si>
  <si>
    <t>Euronext Paris</t>
  </si>
  <si>
    <t>LVMH</t>
  </si>
  <si>
    <t>MC.PA</t>
  </si>
  <si>
    <t>FR0000121014</t>
  </si>
  <si>
    <t>XETRA</t>
  </si>
  <si>
    <t>SAP</t>
  </si>
  <si>
    <t>SAP.DE</t>
  </si>
  <si>
    <t>DE0007164600</t>
  </si>
  <si>
    <t>Acciones USA</t>
  </si>
  <si>
    <t>NASDAQ</t>
  </si>
  <si>
    <t>Apple Inc.</t>
  </si>
  <si>
    <t>AAPL</t>
  </si>
  <si>
    <t>US0378331005</t>
  </si>
  <si>
    <t>USD</t>
  </si>
  <si>
    <t>Microsoft Corp.</t>
  </si>
  <si>
    <t>MSFT</t>
  </si>
  <si>
    <t>US5949181045</t>
  </si>
  <si>
    <t>Tesla Inc.</t>
  </si>
  <si>
    <t>TSLA</t>
  </si>
  <si>
    <t>US88160R1014</t>
  </si>
  <si>
    <t>Forex</t>
  </si>
  <si>
    <t>OTC/Interbancario</t>
  </si>
  <si>
    <t>EURUSD</t>
  </si>
  <si>
    <t>N/A (par de divisas, sin ISIN)</t>
  </si>
  <si>
    <t>Proveedor Forex (a configurar)</t>
  </si>
  <si>
    <t>GBPUSD</t>
  </si>
  <si>
    <t>Criptomonedas</t>
  </si>
  <si>
    <t>Exchange Cripto</t>
  </si>
  <si>
    <t>BTCUSD</t>
  </si>
  <si>
    <t>N/A (criptoactivo, sin ISIN)</t>
  </si>
  <si>
    <t>Proveedor Cripto (a configurar)</t>
  </si>
  <si>
    <t>ETHUSD</t>
  </si>
  <si>
    <t>ETF</t>
  </si>
  <si>
    <t>NYSE Arca</t>
  </si>
  <si>
    <t>SPDR S&amp;P 500 ETF</t>
  </si>
  <si>
    <t>SPY</t>
  </si>
  <si>
    <t>US78462F1030</t>
  </si>
  <si>
    <t>Metales</t>
  </si>
  <si>
    <t>COMEX</t>
  </si>
  <si>
    <t>GC=F</t>
  </si>
  <si>
    <t>Proveedor Futuros (a configurar)</t>
  </si>
  <si>
    <t>SI=F</t>
  </si>
  <si>
    <t>Energia</t>
  </si>
  <si>
    <t>NYMEX</t>
  </si>
  <si>
    <t>NG=F</t>
  </si>
  <si>
    <t>Petroleo</t>
  </si>
  <si>
    <t>CL=F</t>
  </si>
  <si>
    <t>ICE</t>
  </si>
  <si>
    <t>Petroleo Brent (Futuro)</t>
  </si>
  <si>
    <t>BZ=F</t>
  </si>
  <si>
    <t>Cafe</t>
  </si>
  <si>
    <t>KC=F</t>
  </si>
  <si>
    <t>Otros commodities</t>
  </si>
  <si>
    <t>CBOT</t>
  </si>
  <si>
    <t>ZW=F</t>
  </si>
  <si>
    <t>BBVA.MC</t>
  </si>
  <si>
    <t>ES0113211835</t>
  </si>
  <si>
    <t>ES0148260031</t>
  </si>
  <si>
    <t>TEF.MC</t>
  </si>
  <si>
    <t>ES0178430E18</t>
  </si>
  <si>
    <t>REP.MC</t>
  </si>
  <si>
    <t>ES0173516115</t>
  </si>
  <si>
    <t>CABK.MC</t>
  </si>
  <si>
    <t>ES0140609019</t>
  </si>
  <si>
    <t>Ferrovial</t>
  </si>
  <si>
    <t>FER.MC</t>
  </si>
  <si>
    <t>NL0015001M62</t>
  </si>
  <si>
    <t>Amadeus</t>
  </si>
  <si>
    <t>AMS.MC</t>
  </si>
  <si>
    <t>ES0109067019</t>
  </si>
  <si>
    <t>Cellnex Telecom</t>
  </si>
  <si>
    <t>CLNX.MC</t>
  </si>
  <si>
    <t>ES0105066007</t>
  </si>
  <si>
    <t>SAB.MC</t>
  </si>
  <si>
    <t>ES0113860A34</t>
  </si>
  <si>
    <t>ACS.MC</t>
  </si>
  <si>
    <t>ES0167050915</t>
  </si>
  <si>
    <t>MTS.MC</t>
  </si>
  <si>
    <t>LU1598757687</t>
  </si>
  <si>
    <t>BKT.MC</t>
  </si>
  <si>
    <t>ES0113679I37</t>
  </si>
  <si>
    <t>AENA.MC</t>
  </si>
  <si>
    <t>ES0105046009</t>
  </si>
  <si>
    <t>NTGY.MC</t>
  </si>
  <si>
    <t>ES0116870314</t>
  </si>
  <si>
    <t>Grifols</t>
  </si>
  <si>
    <t>GRF.MC</t>
  </si>
  <si>
    <t>ES0171996087</t>
  </si>
  <si>
    <t>Enagás</t>
  </si>
  <si>
    <t>ENG.MC</t>
  </si>
  <si>
    <t>ES0130960018</t>
  </si>
  <si>
    <t>Endesa</t>
  </si>
  <si>
    <t>ELE.MC</t>
  </si>
  <si>
    <t>ES0130670112</t>
  </si>
  <si>
    <t>Red Electrica</t>
  </si>
  <si>
    <t>RED.MC</t>
  </si>
  <si>
    <t>ES0173093024</t>
  </si>
  <si>
    <t>Inmobiliaria Colonial</t>
  </si>
  <si>
    <t>COL.MC</t>
  </si>
  <si>
    <t>ES0139140174</t>
  </si>
  <si>
    <t>MAP.MC</t>
  </si>
  <si>
    <t>ES0124244E34</t>
  </si>
  <si>
    <t>ANA.MC</t>
  </si>
  <si>
    <t>ES0125220311</t>
  </si>
  <si>
    <t>IDR.MC</t>
  </si>
  <si>
    <t>ES0118594417</t>
  </si>
  <si>
    <t>IAG.MC</t>
  </si>
  <si>
    <t>ES0177542018</t>
  </si>
  <si>
    <t>Merlin Properties</t>
  </si>
  <si>
    <t>MER.MC</t>
  </si>
  <si>
    <t>ES0105025003</t>
  </si>
  <si>
    <t>Fluidra</t>
  </si>
  <si>
    <t>FDR.MC</t>
  </si>
  <si>
    <t>ES0137650018</t>
  </si>
  <si>
    <t>UNI.MC</t>
  </si>
  <si>
    <t>ES0180907000</t>
  </si>
  <si>
    <t>Sacyr</t>
  </si>
  <si>
    <t>SCYR.MC</t>
  </si>
  <si>
    <t>ES0182870214</t>
  </si>
  <si>
    <t>ACX.MC</t>
  </si>
  <si>
    <t>ES0132105018</t>
  </si>
  <si>
    <t>Solaria</t>
  </si>
  <si>
    <t>SLR.MC</t>
  </si>
  <si>
    <t>ES0165386014</t>
  </si>
  <si>
    <t>Logista</t>
  </si>
  <si>
    <t>LOG.MC</t>
  </si>
  <si>
    <t>ES0105022000</t>
  </si>
  <si>
    <t>Acciona Energía</t>
  </si>
  <si>
    <t>ANE.MC</t>
  </si>
  <si>
    <t>ES0105563003</t>
  </si>
  <si>
    <t>Puig Brands</t>
  </si>
  <si>
    <t>PUIGb.MC</t>
  </si>
  <si>
    <t>ES0105741013</t>
  </si>
  <si>
    <t>Rovi</t>
  </si>
  <si>
    <t>ROVI.MC</t>
  </si>
  <si>
    <t>ES0157261019</t>
  </si>
  <si>
    <t>BTC-USD</t>
  </si>
  <si>
    <t>API Exchange (Binance / CoinGecko / CoinMarketCap)</t>
  </si>
  <si>
    <t>ETH-USD</t>
  </si>
  <si>
    <t>USDT-USD</t>
  </si>
  <si>
    <t>SOL-USD</t>
  </si>
  <si>
    <t>USDCoin</t>
  </si>
  <si>
    <t>USDC-USD</t>
  </si>
  <si>
    <t>BNB</t>
  </si>
  <si>
    <t>BNB-USD</t>
  </si>
  <si>
    <t>XRP-USD</t>
  </si>
  <si>
    <t>DOGE-USD</t>
  </si>
  <si>
    <t>ADA-USD</t>
  </si>
  <si>
    <t>Avalanche</t>
  </si>
  <si>
    <t>AVAX-USD</t>
  </si>
  <si>
    <t>Chainlink</t>
  </si>
  <si>
    <t>LINK-USD</t>
  </si>
  <si>
    <t>Polkadot</t>
  </si>
  <si>
    <t>DOT-USD</t>
  </si>
  <si>
    <t>TRON</t>
  </si>
  <si>
    <t>TRX-USD</t>
  </si>
  <si>
    <t>Polygon</t>
  </si>
  <si>
    <t>MATIC-USD</t>
  </si>
  <si>
    <t>ShibaInu</t>
  </si>
  <si>
    <t>SHIB-USD</t>
  </si>
  <si>
    <t>Near Protocol</t>
  </si>
  <si>
    <t>NEAR-USD</t>
  </si>
  <si>
    <t>LTC-USD</t>
  </si>
  <si>
    <t>Uniswap</t>
  </si>
  <si>
    <t>UNI-USD</t>
  </si>
  <si>
    <t>Pepe</t>
  </si>
  <si>
    <t>PEPE-USD</t>
  </si>
  <si>
    <t>Aptos</t>
  </si>
  <si>
    <t>APT-USD</t>
  </si>
  <si>
    <t>Sui</t>
  </si>
  <si>
    <t>SUI-USD</t>
  </si>
  <si>
    <t>Internet Computer</t>
  </si>
  <si>
    <t>ICP-USD</t>
  </si>
  <si>
    <t>Filecoin</t>
  </si>
  <si>
    <t>FIL-USD</t>
  </si>
  <si>
    <t>Optimism</t>
  </si>
  <si>
    <t>OP-USD</t>
  </si>
  <si>
    <t>Render Network</t>
  </si>
  <si>
    <t>RNDR-USD</t>
  </si>
  <si>
    <t>Stacks</t>
  </si>
  <si>
    <t>STX-USD</t>
  </si>
  <si>
    <t>Arbitrum</t>
  </si>
  <si>
    <t>ARB-USD</t>
  </si>
  <si>
    <t>Immutable</t>
  </si>
  <si>
    <t>IMX-USD</t>
  </si>
  <si>
    <t>Hedera</t>
  </si>
  <si>
    <t>HBAR-USD</t>
  </si>
  <si>
    <t>TheGraph</t>
  </si>
  <si>
    <t>GRT-USD</t>
  </si>
  <si>
    <t>Injective</t>
  </si>
  <si>
    <t>INJ-USD</t>
  </si>
  <si>
    <t>dogwifhat</t>
  </si>
  <si>
    <t>WIF-USD</t>
  </si>
  <si>
    <t xml:space="preserve">Artificial  </t>
  </si>
  <si>
    <t>FETUSD</t>
  </si>
  <si>
    <t>Theta Network</t>
  </si>
  <si>
    <t>THETA-USD</t>
  </si>
  <si>
    <t>THOR Chain</t>
  </si>
  <si>
    <t>RUNE-USD</t>
  </si>
  <si>
    <t>Lido DAO</t>
  </si>
  <si>
    <t>LDO-USD</t>
  </si>
  <si>
    <t>Floki[1]</t>
  </si>
  <si>
    <t>FLOKI-USD</t>
  </si>
  <si>
    <t>Fantom</t>
  </si>
  <si>
    <t>FTM-USD</t>
  </si>
  <si>
    <t>Aave</t>
  </si>
  <si>
    <t>AAVE-USD</t>
  </si>
  <si>
    <t>Maker</t>
  </si>
  <si>
    <t>MKR-USD</t>
  </si>
  <si>
    <t>MultiversX</t>
  </si>
  <si>
    <t>EGLD-USD</t>
  </si>
  <si>
    <t>Celestia</t>
  </si>
  <si>
    <t>TIA-USD</t>
  </si>
  <si>
    <t>Algorand</t>
  </si>
  <si>
    <t>ALGO-USD</t>
  </si>
  <si>
    <t>Flow</t>
  </si>
  <si>
    <t>FLOW-USD</t>
  </si>
  <si>
    <t>The Sandbox</t>
  </si>
  <si>
    <t>SAND-USD</t>
  </si>
  <si>
    <t>Decentraland</t>
  </si>
  <si>
    <t>MANA-USD</t>
  </si>
  <si>
    <t>Ve Chain</t>
  </si>
  <si>
    <t>VET-USD</t>
  </si>
  <si>
    <t>Axie Infinity</t>
  </si>
  <si>
    <t>AXS-USD</t>
  </si>
  <si>
    <t>Chiliz</t>
  </si>
  <si>
    <t>CHZ-USD</t>
  </si>
  <si>
    <t>EOS</t>
  </si>
  <si>
    <t>EOS-USD</t>
  </si>
  <si>
    <t>Multivers X</t>
  </si>
  <si>
    <t>Sei</t>
  </si>
  <si>
    <t>SEI-USD</t>
  </si>
  <si>
    <t>Mina</t>
  </si>
  <si>
    <t>MINA-USD</t>
  </si>
  <si>
    <t>Gala</t>
  </si>
  <si>
    <t>GALA-USD</t>
  </si>
  <si>
    <t>Curve Financial</t>
  </si>
  <si>
    <t>CRV-USD</t>
  </si>
  <si>
    <t>dYdX</t>
  </si>
  <si>
    <t>DYDX-USD</t>
  </si>
  <si>
    <t>Frax Share</t>
  </si>
  <si>
    <t>FXS-USD</t>
  </si>
  <si>
    <t>Ethereum Name Service</t>
  </si>
  <si>
    <t>ENS-USD</t>
  </si>
  <si>
    <t>WOO Network</t>
  </si>
  <si>
    <t>WOO-USD</t>
  </si>
  <si>
    <t>Singularity NET</t>
  </si>
  <si>
    <t>AGIX-USD</t>
  </si>
  <si>
    <t>Bonk</t>
  </si>
  <si>
    <t>BONK-USD</t>
  </si>
  <si>
    <t>Beam</t>
  </si>
  <si>
    <t>BEAM-USD</t>
  </si>
  <si>
    <t>Jupiter</t>
  </si>
  <si>
    <t>JUP-USD</t>
  </si>
  <si>
    <t>Pyth Network</t>
  </si>
  <si>
    <t>PYTH-USD</t>
  </si>
  <si>
    <t>ORDI</t>
  </si>
  <si>
    <t>ORDI-USD</t>
  </si>
  <si>
    <t>Starknet</t>
  </si>
  <si>
    <t>STRK-USD</t>
  </si>
  <si>
    <t>Dymension</t>
  </si>
  <si>
    <t>DYM-USD</t>
  </si>
  <si>
    <t>Jito</t>
  </si>
  <si>
    <t>JTO-USD</t>
  </si>
  <si>
    <t>Loopring</t>
  </si>
  <si>
    <t>LRC-USD</t>
  </si>
  <si>
    <t>Zilliqa</t>
  </si>
  <si>
    <t>ZIL-USD</t>
  </si>
  <si>
    <t>Basic Attention Token</t>
  </si>
  <si>
    <t>BAT-USD</t>
  </si>
  <si>
    <t>Qtum</t>
  </si>
  <si>
    <t>QTUM-USD</t>
  </si>
  <si>
    <t>Compound</t>
  </si>
  <si>
    <t>COMP-USD</t>
  </si>
  <si>
    <t>Synthetix</t>
  </si>
  <si>
    <t>SNX-USD</t>
  </si>
  <si>
    <t>Monero</t>
  </si>
  <si>
    <t>XMR-USD</t>
  </si>
  <si>
    <t>Zcash</t>
  </si>
  <si>
    <t>ZEC-USD</t>
  </si>
  <si>
    <t>Dash</t>
  </si>
  <si>
    <t>DASH-USD</t>
  </si>
  <si>
    <t>Harmony</t>
  </si>
  <si>
    <t>ONE-USD</t>
  </si>
  <si>
    <t>Ankr</t>
  </si>
  <si>
    <t>ANKR-USD</t>
  </si>
  <si>
    <t>EnjinCoin</t>
  </si>
  <si>
    <t>ENJ-USD</t>
  </si>
  <si>
    <t>OMG Network</t>
  </si>
  <si>
    <t>OMG-USD</t>
  </si>
  <si>
    <t>yearnfinance</t>
  </si>
  <si>
    <t>YFI-USD</t>
  </si>
  <si>
    <t>SushiSwap</t>
  </si>
  <si>
    <t>SUSHI-USD</t>
  </si>
  <si>
    <t>Ravencoin</t>
  </si>
  <si>
    <t>RVN-USD</t>
  </si>
  <si>
    <t>Celo</t>
  </si>
  <si>
    <t>CELO-USD</t>
  </si>
  <si>
    <t>Moonbeam</t>
  </si>
  <si>
    <t>GLMR-USD</t>
  </si>
  <si>
    <t>Kava</t>
  </si>
  <si>
    <t>KAVA-USD</t>
  </si>
  <si>
    <t>Terra Classic USD</t>
  </si>
  <si>
    <t>USTC-USD</t>
  </si>
  <si>
    <t>Terra Classic</t>
  </si>
  <si>
    <t>LUNC-USD</t>
  </si>
  <si>
    <t>1inch Network</t>
  </si>
  <si>
    <t>1INCH-USD</t>
  </si>
  <si>
    <t>Holo</t>
  </si>
  <si>
    <t>HOT-USD</t>
  </si>
  <si>
    <t>IOST</t>
  </si>
  <si>
    <t>IOST-USD</t>
  </si>
  <si>
    <t>Waves</t>
  </si>
  <si>
    <t>WAVES-USD</t>
  </si>
  <si>
    <t>BitTorrent</t>
  </si>
  <si>
    <t>BTT-USD</t>
  </si>
  <si>
    <t>Kusama</t>
  </si>
  <si>
    <t>KSM-USD</t>
  </si>
  <si>
    <t>0x</t>
  </si>
  <si>
    <t>ZRX-USD</t>
  </si>
  <si>
    <t>Audius</t>
  </si>
  <si>
    <t>AUDIO-USD</t>
  </si>
  <si>
    <t>EUR/USD</t>
  </si>
  <si>
    <t>Proveedor API Forex (OANDA / Twelve Data / Alpha Vantage)</t>
  </si>
  <si>
    <t>GBP/USD</t>
  </si>
  <si>
    <t>USDJPY</t>
  </si>
  <si>
    <t>USD/JPY</t>
  </si>
  <si>
    <t>AUDUSD</t>
  </si>
  <si>
    <t>AUD/USD</t>
  </si>
  <si>
    <t>USDCAD</t>
  </si>
  <si>
    <t>USD/CAD</t>
  </si>
  <si>
    <t>USDCHF</t>
  </si>
  <si>
    <t>USD/CHF</t>
  </si>
  <si>
    <t>NZDUSD</t>
  </si>
  <si>
    <t>NZD/USD</t>
  </si>
  <si>
    <t>EURGBP</t>
  </si>
  <si>
    <t>EUR/GBP</t>
  </si>
  <si>
    <t>Euro / Yen</t>
  </si>
  <si>
    <t>EURJPY</t>
  </si>
  <si>
    <t>EUR/JPY</t>
  </si>
  <si>
    <t>Euro / Dolar AUS</t>
  </si>
  <si>
    <t>EURAUD</t>
  </si>
  <si>
    <t>EUR/AUD</t>
  </si>
  <si>
    <t>Euro / Dolar CAD</t>
  </si>
  <si>
    <t>EURCAD</t>
  </si>
  <si>
    <t>EUR/CAD</t>
  </si>
  <si>
    <t>Euro / Franco</t>
  </si>
  <si>
    <t>EURCHF</t>
  </si>
  <si>
    <t>EUR/CHF</t>
  </si>
  <si>
    <t>Euro / Dolar NZ</t>
  </si>
  <si>
    <t>EURNZD</t>
  </si>
  <si>
    <t>EUR/NZD</t>
  </si>
  <si>
    <t>Euro / Corona SEK</t>
  </si>
  <si>
    <t>EURSEK</t>
  </si>
  <si>
    <t>EUR/SEK</t>
  </si>
  <si>
    <t>Euro / Corona NOK</t>
  </si>
  <si>
    <t>EURNOK</t>
  </si>
  <si>
    <t>EUR/NOK</t>
  </si>
  <si>
    <t>Libra / Yen</t>
  </si>
  <si>
    <t>GBPJPY</t>
  </si>
  <si>
    <t>GBP/JPY</t>
  </si>
  <si>
    <t>Libra / Dolar AUS</t>
  </si>
  <si>
    <t>GBPAUD</t>
  </si>
  <si>
    <t>GBP/AUD</t>
  </si>
  <si>
    <t>Libra / Dolar CAD</t>
  </si>
  <si>
    <t>GBPCAD</t>
  </si>
  <si>
    <t>GBP/CAD</t>
  </si>
  <si>
    <t>Libra / Franco</t>
  </si>
  <si>
    <t>GBPCHF</t>
  </si>
  <si>
    <t>GBP/CHF</t>
  </si>
  <si>
    <t>Libra / Dolar NZ</t>
  </si>
  <si>
    <t>GBPNZD</t>
  </si>
  <si>
    <t>GBP/NZD</t>
  </si>
  <si>
    <t>Dolar AUS / Yen</t>
  </si>
  <si>
    <t>AUDJPY</t>
  </si>
  <si>
    <t>AUD/JPY</t>
  </si>
  <si>
    <t>Dolar CAD / Yen</t>
  </si>
  <si>
    <t>CADJPY</t>
  </si>
  <si>
    <t>CAD/JPY</t>
  </si>
  <si>
    <t>Franco / Yen</t>
  </si>
  <si>
    <t>CHFJPY</t>
  </si>
  <si>
    <t>CHF/JPY</t>
  </si>
  <si>
    <t>Dolar NZ / Yen</t>
  </si>
  <si>
    <t>NZDJPY</t>
  </si>
  <si>
    <t>NZD/JPY</t>
  </si>
  <si>
    <t>Dolar AUS / Dolar CAD</t>
  </si>
  <si>
    <t>AUDCAD</t>
  </si>
  <si>
    <t>AUD/CAD</t>
  </si>
  <si>
    <t>Dolar AUS / Franco</t>
  </si>
  <si>
    <t>AUDCHF</t>
  </si>
  <si>
    <t>AUD/CHF</t>
  </si>
  <si>
    <t>Dolar AUS / Dolar NZ</t>
  </si>
  <si>
    <t>AUDNZD</t>
  </si>
  <si>
    <t>AUD/NZD</t>
  </si>
  <si>
    <t>Dolar CAD / Franco</t>
  </si>
  <si>
    <t>CADCHF</t>
  </si>
  <si>
    <t>CAD/CHF</t>
  </si>
  <si>
    <t>Dolar NZ / Dolar CAD</t>
  </si>
  <si>
    <t>NZDCAD</t>
  </si>
  <si>
    <t>NZD/CAD</t>
  </si>
  <si>
    <t>Dolar NZ / Franco</t>
  </si>
  <si>
    <t>NZDCHF</t>
  </si>
  <si>
    <t>NZD/CHF</t>
  </si>
  <si>
    <t>Dolar / Peso mexicano</t>
  </si>
  <si>
    <t>USDMXN</t>
  </si>
  <si>
    <t>USD/MXN</t>
  </si>
  <si>
    <t>Dolar / Real brasileño</t>
  </si>
  <si>
    <t>USDBRL</t>
  </si>
  <si>
    <t>USD/BRL</t>
  </si>
  <si>
    <t>Dolar / Peso argentino</t>
  </si>
  <si>
    <t>USDARS</t>
  </si>
  <si>
    <t>USD/ARS</t>
  </si>
  <si>
    <t>Dolar / Peso chileno</t>
  </si>
  <si>
    <t>USDCLP</t>
  </si>
  <si>
    <t>USD/CLP</t>
  </si>
  <si>
    <t>Dolar / Peso colombiano</t>
  </si>
  <si>
    <t>USDCOP</t>
  </si>
  <si>
    <t>USD/COP</t>
  </si>
  <si>
    <t>Dolar / Sol peruano</t>
  </si>
  <si>
    <t>USDPEN</t>
  </si>
  <si>
    <t>USD/PEN</t>
  </si>
  <si>
    <t>Dolar / Euro</t>
  </si>
  <si>
    <t>USDEUR</t>
  </si>
  <si>
    <t>USD/EUR</t>
  </si>
  <si>
    <t>Dolar / Yuan chino (en el extranjero)</t>
  </si>
  <si>
    <t>USDCNH</t>
  </si>
  <si>
    <t>USD/CNH</t>
  </si>
  <si>
    <t>Dolar / Dólar de Hong Kong</t>
  </si>
  <si>
    <t>USDHKD</t>
  </si>
  <si>
    <t>USD/HKD</t>
  </si>
  <si>
    <t>Dolar / Dólar de Singapur</t>
  </si>
  <si>
    <t>USDSGD</t>
  </si>
  <si>
    <t>USD/SGD</t>
  </si>
  <si>
    <t>Dolar / Rupia india</t>
  </si>
  <si>
    <t>USDINR</t>
  </si>
  <si>
    <t>USD/INR</t>
  </si>
  <si>
    <t>Dolar / Rand sudafricano</t>
  </si>
  <si>
    <t>USDZAR</t>
  </si>
  <si>
    <t>USD/ZAR</t>
  </si>
  <si>
    <t>Dolar / Lira turca</t>
  </si>
  <si>
    <t>USDTRY</t>
  </si>
  <si>
    <t>USD/TRY</t>
  </si>
  <si>
    <t>Dolar / Rublo ruso</t>
  </si>
  <si>
    <t>USDRUB</t>
  </si>
  <si>
    <t>USD/RUB</t>
  </si>
  <si>
    <t>Dolar / Zloty polaco</t>
  </si>
  <si>
    <t>USDPLN</t>
  </si>
  <si>
    <t>USD/PLN</t>
  </si>
  <si>
    <t>Dolar / Corona checa</t>
  </si>
  <si>
    <t>USDCZK</t>
  </si>
  <si>
    <t>USD/CZK</t>
  </si>
  <si>
    <t>Dolar / Forinto húngaro</t>
  </si>
  <si>
    <t>USDHUF</t>
  </si>
  <si>
    <t>USD/HUF</t>
  </si>
  <si>
    <t>Euro / Peso mexicano</t>
  </si>
  <si>
    <t>EURMXN</t>
  </si>
  <si>
    <t>EUR/MXN</t>
  </si>
  <si>
    <t>Euro / Rand sudafricano</t>
  </si>
  <si>
    <t>EURZAR</t>
  </si>
  <si>
    <t>EUR/ZAR</t>
  </si>
  <si>
    <t>Euro / Lira turca</t>
  </si>
  <si>
    <t>EURTRY</t>
  </si>
  <si>
    <t>EUR/TRY</t>
  </si>
  <si>
    <t>Software y tecnología corporativa</t>
  </si>
  <si>
    <t>XETR:SAP</t>
  </si>
  <si>
    <t>XETR:SIE</t>
  </si>
  <si>
    <t>DE0007236101</t>
  </si>
  <si>
    <t xml:space="preserve">Allianz SE </t>
  </si>
  <si>
    <t>XETR:ALV</t>
  </si>
  <si>
    <t>DE0008404005</t>
  </si>
  <si>
    <t xml:space="preserve">Deutsche Telekom AG </t>
  </si>
  <si>
    <t>XETR:DTE</t>
  </si>
  <si>
    <t>DE0005557508</t>
  </si>
  <si>
    <t>XETR:DBK</t>
  </si>
  <si>
    <t>DE0005140008</t>
  </si>
  <si>
    <t>XETR:MBG</t>
  </si>
  <si>
    <t>DE0007100000</t>
  </si>
  <si>
    <t>XETR:VOW3</t>
  </si>
  <si>
    <t>DE0007664039</t>
  </si>
  <si>
    <t xml:space="preserve">Infineon Technologies AG </t>
  </si>
  <si>
    <t>XETR:IFX</t>
  </si>
  <si>
    <t>DE0006231004</t>
  </si>
  <si>
    <t>XETR:BMW</t>
  </si>
  <si>
    <t>DE0005190003</t>
  </si>
  <si>
    <t xml:space="preserve">DHL Group </t>
  </si>
  <si>
    <t>XETR:DHL</t>
  </si>
  <si>
    <t>DE0005550408</t>
  </si>
  <si>
    <t>XETR:BAS</t>
  </si>
  <si>
    <t>DE000BASF111</t>
  </si>
  <si>
    <t>XETR:BAYN</t>
  </si>
  <si>
    <t>DE000BAY0017</t>
  </si>
  <si>
    <t xml:space="preserve">Münchener Rückversicherungs-Gesellschaft </t>
  </si>
  <si>
    <t>XETR:MUV2</t>
  </si>
  <si>
    <t>DE0008430026</t>
  </si>
  <si>
    <t xml:space="preserve">Rheinmetall AG </t>
  </si>
  <si>
    <t>XETR:RHM</t>
  </si>
  <si>
    <t>DE0007030009</t>
  </si>
  <si>
    <t xml:space="preserve">Siemens Energy AG </t>
  </si>
  <si>
    <t>XETR:ENR</t>
  </si>
  <si>
    <t>DE000ENER6Y0</t>
  </si>
  <si>
    <t xml:space="preserve">Deutsche Börse AG </t>
  </si>
  <si>
    <t>XETR:DB1</t>
  </si>
  <si>
    <t>DE0005810055</t>
  </si>
  <si>
    <t xml:space="preserve">Continental AG </t>
  </si>
  <si>
    <t>XETR:CON</t>
  </si>
  <si>
    <t>DE0005439004</t>
  </si>
  <si>
    <t xml:space="preserve">E.ON SE </t>
  </si>
  <si>
    <t>XETR:EON</t>
  </si>
  <si>
    <t>DE000ENAG999</t>
  </si>
  <si>
    <t xml:space="preserve">RWE AG </t>
  </si>
  <si>
    <t>XETR:RWE</t>
  </si>
  <si>
    <t>DE0007037129</t>
  </si>
  <si>
    <t xml:space="preserve">Adidas AG </t>
  </si>
  <si>
    <t>XETR:ADS</t>
  </si>
  <si>
    <t>DE000A1EWWW0</t>
  </si>
  <si>
    <t xml:space="preserve">Merck KGaA </t>
  </si>
  <si>
    <t>XETR:MRK</t>
  </si>
  <si>
    <t>DE0006599905</t>
  </si>
  <si>
    <t>Henkel AG &amp; Co</t>
  </si>
  <si>
    <t>XETR:HEN3</t>
  </si>
  <si>
    <t>DE0006048432</t>
  </si>
  <si>
    <t xml:space="preserve">Vonovia SE </t>
  </si>
  <si>
    <t>XETR:VNA</t>
  </si>
  <si>
    <t>DE000A1ML7J1</t>
  </si>
  <si>
    <t xml:space="preserve">MTU Aero Engines AG </t>
  </si>
  <si>
    <t>XETR:MTX</t>
  </si>
  <si>
    <t>DE000A0D9PT0</t>
  </si>
  <si>
    <t xml:space="preserve">Heidelberg Materials AG </t>
  </si>
  <si>
    <t>XETR:HEI</t>
  </si>
  <si>
    <t>DE0006047004</t>
  </si>
  <si>
    <t xml:space="preserve">Porsche Automobil Holding SE </t>
  </si>
  <si>
    <t>XETR:PAH3</t>
  </si>
  <si>
    <t>DE000PAH0038</t>
  </si>
  <si>
    <t xml:space="preserve">Fresenius SE &amp; Co. KGaA </t>
  </si>
  <si>
    <t>XETR:FRE</t>
  </si>
  <si>
    <t>DE0005785604</t>
  </si>
  <si>
    <t xml:space="preserve">Dr. Ing. h.c. F. Porsche AG </t>
  </si>
  <si>
    <t>XETR:P911</t>
  </si>
  <si>
    <t>DE000PAG9113</t>
  </si>
  <si>
    <t xml:space="preserve">Siemens Healthineers AG </t>
  </si>
  <si>
    <t>XETR:SHL</t>
  </si>
  <si>
    <t>DE000SHL1006</t>
  </si>
  <si>
    <t xml:space="preserve">Symrise AG </t>
  </si>
  <si>
    <t>XETR:SY1</t>
  </si>
  <si>
    <t>DE000SYM9999</t>
  </si>
  <si>
    <t xml:space="preserve">Commerzbank AG </t>
  </si>
  <si>
    <t>XETR:CBK</t>
  </si>
  <si>
    <t>DE000CBK1001</t>
  </si>
  <si>
    <t xml:space="preserve">Zalando SE </t>
  </si>
  <si>
    <t>XETR:ZAL</t>
  </si>
  <si>
    <t>DE000ZAL1111</t>
  </si>
  <si>
    <t xml:space="preserve">Beiersdorf AG </t>
  </si>
  <si>
    <t>XETR:BEI</t>
  </si>
  <si>
    <t>DE0005200000</t>
  </si>
  <si>
    <t xml:space="preserve">Qiagen N.V. </t>
  </si>
  <si>
    <t>XETR:QIAG</t>
  </si>
  <si>
    <t>NL0012169213</t>
  </si>
  <si>
    <t xml:space="preserve">Brenntag SE </t>
  </si>
  <si>
    <t>DE000A1DAHH0</t>
  </si>
  <si>
    <t xml:space="preserve">Fresenius Medical Care AG </t>
  </si>
  <si>
    <t>XETR:FME</t>
  </si>
  <si>
    <t>DE0005785802</t>
  </si>
  <si>
    <t xml:space="preserve">Hannover Rück SE </t>
  </si>
  <si>
    <t>XETR:HNR1</t>
  </si>
  <si>
    <t>DE0008402215</t>
  </si>
  <si>
    <t xml:space="preserve">GEA Group AG </t>
  </si>
  <si>
    <t>XETR:SGE</t>
  </si>
  <si>
    <t>DE0006602006</t>
  </si>
  <si>
    <t xml:space="preserve">Kion Group AG </t>
  </si>
  <si>
    <t>XETR:KGX</t>
  </si>
  <si>
    <t>DE000KGX8881</t>
  </si>
  <si>
    <t xml:space="preserve">Wienerberger AG / Sartorius AG </t>
  </si>
  <si>
    <t>XETR:WIE</t>
  </si>
  <si>
    <t>AT0000831706</t>
  </si>
  <si>
    <t>NYSE/NASDAQ</t>
  </si>
  <si>
    <t>NASDAQ:AAPL</t>
  </si>
  <si>
    <t>S&amp;P Dow Jones Indices / proveedor API (Bloomberg, Refinitiv, IEX, etc.)</t>
  </si>
  <si>
    <t>NASDAQ:MSFT</t>
  </si>
  <si>
    <t>NASDAQ:NVDA</t>
  </si>
  <si>
    <t>US67066G1040</t>
  </si>
  <si>
    <t>NASDAQ:AMZN</t>
  </si>
  <si>
    <t>US0231351067</t>
  </si>
  <si>
    <t>NASDAQ:GOOGL</t>
  </si>
  <si>
    <t>US02079K3059</t>
  </si>
  <si>
    <t>Alphabet Class C</t>
  </si>
  <si>
    <t>NASDAQ:GOOG</t>
  </si>
  <si>
    <t>US02079K1079</t>
  </si>
  <si>
    <t>NASDAQ:META</t>
  </si>
  <si>
    <t>US30303M1027</t>
  </si>
  <si>
    <t>NASDAQ:BRK.B</t>
  </si>
  <si>
    <t>US0846707026</t>
  </si>
  <si>
    <t>NASDAQ:AVGO</t>
  </si>
  <si>
    <t>US11135F1012</t>
  </si>
  <si>
    <t>NASDAQ:TSLA</t>
  </si>
  <si>
    <t>JPMorgan Chase</t>
  </si>
  <si>
    <t>NASDAQ:JPM</t>
  </si>
  <si>
    <t>US46625H1005</t>
  </si>
  <si>
    <t>Eli Lilly</t>
  </si>
  <si>
    <t>NASDAQ:LLY</t>
  </si>
  <si>
    <t>US5324571083</t>
  </si>
  <si>
    <t>Visa</t>
  </si>
  <si>
    <t>NASDAQ:V</t>
  </si>
  <si>
    <t>US92826C8394</t>
  </si>
  <si>
    <t>NASDAQ:XOM</t>
  </si>
  <si>
    <t>US30231G1022</t>
  </si>
  <si>
    <t>NASDAQ:UNH</t>
  </si>
  <si>
    <t>US91324P1021</t>
  </si>
  <si>
    <t>Mastercard</t>
  </si>
  <si>
    <t>NASDAQ:MA</t>
  </si>
  <si>
    <t>US57636Q1040</t>
  </si>
  <si>
    <t>Costco Wholesale</t>
  </si>
  <si>
    <t>NASDAQ:COST</t>
  </si>
  <si>
    <t>US22160K1051</t>
  </si>
  <si>
    <t>Home Depot</t>
  </si>
  <si>
    <t>NASDAQ:HD</t>
  </si>
  <si>
    <t>US4370761003</t>
  </si>
  <si>
    <t>Procter &amp; Gamble</t>
  </si>
  <si>
    <t>NASDAQ:PG</t>
  </si>
  <si>
    <t>US7427181094</t>
  </si>
  <si>
    <t>NASDAQ:NFLX</t>
  </si>
  <si>
    <t>US64110L1061</t>
  </si>
  <si>
    <t>NASDAQ:JNJ</t>
  </si>
  <si>
    <t>US4781601046</t>
  </si>
  <si>
    <t>NASDAQ:ABBV</t>
  </si>
  <si>
    <t>US00287Y1091</t>
  </si>
  <si>
    <t>NASDAQ:BAC</t>
  </si>
  <si>
    <t>US0605051046</t>
  </si>
  <si>
    <t>Salesforce</t>
  </si>
  <si>
    <t>NASDAQ:CRM</t>
  </si>
  <si>
    <t>US79466L3024</t>
  </si>
  <si>
    <t>Walmart</t>
  </si>
  <si>
    <t>NASDAQ:WMT</t>
  </si>
  <si>
    <t>US9311421039</t>
  </si>
  <si>
    <t>NASDAQ:KO</t>
  </si>
  <si>
    <t>US1912161007</t>
  </si>
  <si>
    <t>Oracle</t>
  </si>
  <si>
    <t>NASDAQ:ORCL</t>
  </si>
  <si>
    <t>US68389X1054</t>
  </si>
  <si>
    <t>Chevron</t>
  </si>
  <si>
    <t>NASDAQ:CVX</t>
  </si>
  <si>
    <t>US1667641005</t>
  </si>
  <si>
    <t>Merck &amp; Co.</t>
  </si>
  <si>
    <t>NASDAQ:MRK</t>
  </si>
  <si>
    <t>US58933Y1055</t>
  </si>
  <si>
    <t>Advanced Micro Devices</t>
  </si>
  <si>
    <t>NASDAQ:AMD</t>
  </si>
  <si>
    <t>US0079031078</t>
  </si>
  <si>
    <t>PepsiCo</t>
  </si>
  <si>
    <t>NASDAQ:PEP</t>
  </si>
  <si>
    <t>US7134481081</t>
  </si>
  <si>
    <t>Adobe</t>
  </si>
  <si>
    <t>NASDAQ:ADBE</t>
  </si>
  <si>
    <t>US00724F1012</t>
  </si>
  <si>
    <t>Thermo Fisher Scientific</t>
  </si>
  <si>
    <t>NASDAQ:TMO</t>
  </si>
  <si>
    <t>US8835561023</t>
  </si>
  <si>
    <t>Accenture</t>
  </si>
  <si>
    <t>NASDAQ:ACN</t>
  </si>
  <si>
    <t>IE00B4BNMY34</t>
  </si>
  <si>
    <t>Linde</t>
  </si>
  <si>
    <t>NASDAQ:LIN</t>
  </si>
  <si>
    <t>IE000S9YS1A6</t>
  </si>
  <si>
    <t>McDonald's</t>
  </si>
  <si>
    <t>NASDAQ:MCD</t>
  </si>
  <si>
    <t>US5801351017</t>
  </si>
  <si>
    <t>Cisco Systems</t>
  </si>
  <si>
    <t>NASDAQ:CSCO</t>
  </si>
  <si>
    <t>US17275R1023</t>
  </si>
  <si>
    <t>Abbott Laboratories</t>
  </si>
  <si>
    <t>NASDAQ:ABT</t>
  </si>
  <si>
    <t>US0028241000</t>
  </si>
  <si>
    <t>Wells Fargo</t>
  </si>
  <si>
    <t>NASDAQ:WFC</t>
  </si>
  <si>
    <t>US9497461015</t>
  </si>
  <si>
    <t>Walt Disney</t>
  </si>
  <si>
    <t>NASDAQ:DIS</t>
  </si>
  <si>
    <t>US2546871060</t>
  </si>
  <si>
    <t>NASDAQ:INTC</t>
  </si>
  <si>
    <t>US4581401001</t>
  </si>
  <si>
    <t>IBM</t>
  </si>
  <si>
    <t>NASDAQ:IBM</t>
  </si>
  <si>
    <t>US4592001014</t>
  </si>
  <si>
    <t>General Electric</t>
  </si>
  <si>
    <t>NASDAQ:GE</t>
  </si>
  <si>
    <t>US3696043013</t>
  </si>
  <si>
    <t>Texas Instruments</t>
  </si>
  <si>
    <t>NASDAQ:TXN</t>
  </si>
  <si>
    <t>US8825081040</t>
  </si>
  <si>
    <t>Philip Morris International</t>
  </si>
  <si>
    <t>NASDAQ:PM</t>
  </si>
  <si>
    <t>US7181721090</t>
  </si>
  <si>
    <t>Verizon Communications</t>
  </si>
  <si>
    <t>NASDAQ:VZ</t>
  </si>
  <si>
    <t>US92343V1044</t>
  </si>
  <si>
    <t>ServiceNow</t>
  </si>
  <si>
    <t>NASDAQ:NOW</t>
  </si>
  <si>
    <t>US81762P1021</t>
  </si>
  <si>
    <t>Qualcomm</t>
  </si>
  <si>
    <t>NASDAQ:QCOM</t>
  </si>
  <si>
    <t>US7475251036</t>
  </si>
  <si>
    <t>Caterpillar</t>
  </si>
  <si>
    <t>NASDAQ:CAT</t>
  </si>
  <si>
    <t>US1491231015</t>
  </si>
  <si>
    <t>NASDAQ:GS</t>
  </si>
  <si>
    <t>US38141G1040</t>
  </si>
  <si>
    <t>Nasdaq / proveedor API (a configurar)</t>
  </si>
  <si>
    <t>T-Mobile US</t>
  </si>
  <si>
    <t>NASDAQ:TMUS</t>
  </si>
  <si>
    <t>US8725901040</t>
  </si>
  <si>
    <t>Comcast</t>
  </si>
  <si>
    <t>NASDAQ:CMCSA</t>
  </si>
  <si>
    <t>US20030N1019</t>
  </si>
  <si>
    <t>Amgen</t>
  </si>
  <si>
    <t>NASDAQ:AMGN</t>
  </si>
  <si>
    <t>US0311621009</t>
  </si>
  <si>
    <t>Intuit</t>
  </si>
  <si>
    <t>NASDAQ:INTU</t>
  </si>
  <si>
    <t>US4612021034</t>
  </si>
  <si>
    <t>Honeywell</t>
  </si>
  <si>
    <t>NASDAQ:HON</t>
  </si>
  <si>
    <t>US4432011082</t>
  </si>
  <si>
    <t>Applied Materials</t>
  </si>
  <si>
    <t>NASDAQ:AMAT</t>
  </si>
  <si>
    <t>US0382221051</t>
  </si>
  <si>
    <t>Booking Holdings</t>
  </si>
  <si>
    <t>NASDAQ:BKNG</t>
  </si>
  <si>
    <t>US09857L1038</t>
  </si>
  <si>
    <t>Intuitive Surgical</t>
  </si>
  <si>
    <t>NASDAQ:ISRG</t>
  </si>
  <si>
    <t>US46120E6023</t>
  </si>
  <si>
    <t>Starbucks</t>
  </si>
  <si>
    <t>NASDAQ:SBUX</t>
  </si>
  <si>
    <t>US8552441094</t>
  </si>
  <si>
    <t>Mondelez International</t>
  </si>
  <si>
    <t>NASDAQ:MDLZ</t>
  </si>
  <si>
    <t>US6092071058</t>
  </si>
  <si>
    <t>Gilead Sciences</t>
  </si>
  <si>
    <t>NASDAQ:GILD</t>
  </si>
  <si>
    <t>US3755581036</t>
  </si>
  <si>
    <t>Analog Devices</t>
  </si>
  <si>
    <t>NASDAQ:ADI</t>
  </si>
  <si>
    <t>US0326541051</t>
  </si>
  <si>
    <t>Lam Research</t>
  </si>
  <si>
    <t>NASDAQ:LRCX</t>
  </si>
  <si>
    <t>US5128071082</t>
  </si>
  <si>
    <t>Vertex Pharmaceuticals</t>
  </si>
  <si>
    <t>NASDAQ:VRTX</t>
  </si>
  <si>
    <t>US92532F1003</t>
  </si>
  <si>
    <t>PayPal Holdings</t>
  </si>
  <si>
    <t>NASDAQ:PYPL</t>
  </si>
  <si>
    <t>US70450Y1038</t>
  </si>
  <si>
    <t>Regeneron Pharmaceuticals</t>
  </si>
  <si>
    <t>NASDAQ:REGN</t>
  </si>
  <si>
    <t>US75886F1075</t>
  </si>
  <si>
    <t>Palo Alto Networks</t>
  </si>
  <si>
    <t>NASDAQ:PANW</t>
  </si>
  <si>
    <t>US6974351057</t>
  </si>
  <si>
    <t>Micron Technology</t>
  </si>
  <si>
    <t>NASDAQ:MU</t>
  </si>
  <si>
    <t>US5951121038</t>
  </si>
  <si>
    <t>KLA Corp</t>
  </si>
  <si>
    <t>NASDAQ:KLAC</t>
  </si>
  <si>
    <t>US4824801009</t>
  </si>
  <si>
    <t>Synopsys</t>
  </si>
  <si>
    <t>NASDAQ:SNPS</t>
  </si>
  <si>
    <t>US8716071076</t>
  </si>
  <si>
    <t>Cadence Design Systems</t>
  </si>
  <si>
    <t>NASDAQ:CDNS</t>
  </si>
  <si>
    <t>US1273871087</t>
  </si>
  <si>
    <t>MercadoLibre</t>
  </si>
  <si>
    <t>NASDAQ:MELI</t>
  </si>
  <si>
    <t>US58733R1023</t>
  </si>
  <si>
    <t>Marriott International</t>
  </si>
  <si>
    <t>NASDAQ:MAR</t>
  </si>
  <si>
    <t>US57619P1012</t>
  </si>
  <si>
    <t>CSX Corp</t>
  </si>
  <si>
    <t>NASDAQ:CSX</t>
  </si>
  <si>
    <t>US1264081035</t>
  </si>
  <si>
    <t>O'Reilly Automotive</t>
  </si>
  <si>
    <t>NASDAQ:ORLY</t>
  </si>
  <si>
    <t>US67103H1077</t>
  </si>
  <si>
    <t>Automatic Data Processing</t>
  </si>
  <si>
    <t>NASDAQ:ADP</t>
  </si>
  <si>
    <t>US0530151036</t>
  </si>
  <si>
    <t>Fortinet</t>
  </si>
  <si>
    <t>NASDAQ:FTNT</t>
  </si>
  <si>
    <t>US34959E1091</t>
  </si>
  <si>
    <t>Cintas</t>
  </si>
  <si>
    <t>NASDAQ:CTAS</t>
  </si>
  <si>
    <t>US1729081042</t>
  </si>
  <si>
    <t>Monster Beverage</t>
  </si>
  <si>
    <t>NASDAQ:MNST</t>
  </si>
  <si>
    <t>US61174X1090</t>
  </si>
  <si>
    <t>Airbnb</t>
  </si>
  <si>
    <t>NASDAQ:ABNB</t>
  </si>
  <si>
    <t>US0090661010</t>
  </si>
  <si>
    <t>Workday</t>
  </si>
  <si>
    <t>NASDAQ:WDAY</t>
  </si>
  <si>
    <t>US98138H1014</t>
  </si>
  <si>
    <t>Paccar</t>
  </si>
  <si>
    <t>NASDAQ:PCAR</t>
  </si>
  <si>
    <t>US6937181088</t>
  </si>
  <si>
    <t>NYSE</t>
  </si>
  <si>
    <t>NYSE:UNH</t>
  </si>
  <si>
    <t>S&amp;P Dow Jones Indices / proveedor API (a configurar) (indice compuesto por solo 30 valores; se listan todos)</t>
  </si>
  <si>
    <t>NYSE:GS</t>
  </si>
  <si>
    <t>NYSE:MSFT</t>
  </si>
  <si>
    <t>NYSE:HD</t>
  </si>
  <si>
    <t>NYSE:CAT</t>
  </si>
  <si>
    <t>NYSE:AMZN</t>
  </si>
  <si>
    <t>NYSE:V</t>
  </si>
  <si>
    <t>NYSE:CRM</t>
  </si>
  <si>
    <t>NYSE:MCD</t>
  </si>
  <si>
    <t>American Express</t>
  </si>
  <si>
    <t>NYSE:AXP</t>
  </si>
  <si>
    <t>US0258161092</t>
  </si>
  <si>
    <t>Travelers Companies</t>
  </si>
  <si>
    <t>NYSE:TRV</t>
  </si>
  <si>
    <t>US89417E1091</t>
  </si>
  <si>
    <t>NYSE:JPM</t>
  </si>
  <si>
    <t>NYSE:IBM</t>
  </si>
  <si>
    <t>NYSE:AAPL</t>
  </si>
  <si>
    <t>NYSE:HON</t>
  </si>
  <si>
    <t>Boeing</t>
  </si>
  <si>
    <t>NYSE:BA</t>
  </si>
  <si>
    <t>US0970231058</t>
  </si>
  <si>
    <t>NYSE:AMGN</t>
  </si>
  <si>
    <t>NYSE:PG</t>
  </si>
  <si>
    <t>NYSE:JNJ</t>
  </si>
  <si>
    <t>NYSE:CVX</t>
  </si>
  <si>
    <t>NYSE:MRK</t>
  </si>
  <si>
    <t>NYSE:WMT</t>
  </si>
  <si>
    <t>NYSE:DIS</t>
  </si>
  <si>
    <t>NYSE:NKE</t>
  </si>
  <si>
    <t>US6541061031</t>
  </si>
  <si>
    <t>NYSE:KO</t>
  </si>
  <si>
    <t>NYSE:CSCO</t>
  </si>
  <si>
    <t>3M</t>
  </si>
  <si>
    <t>NYSE:MMM</t>
  </si>
  <si>
    <t>US88579Y1010</t>
  </si>
  <si>
    <t>NYSE:VZ</t>
  </si>
  <si>
    <t>NYSE:NVDA</t>
  </si>
  <si>
    <t>Sherwin-Williams</t>
  </si>
  <si>
    <t>NYSE:SHW</t>
  </si>
  <si>
    <t>US8243481061</t>
  </si>
  <si>
    <t>NASDAQ:SOFI</t>
  </si>
  <si>
    <t>US83406F1021</t>
  </si>
  <si>
    <t>FTSE Russell / proveedor API (a configurar) - lista aproximada, verificar</t>
  </si>
  <si>
    <t>NASDAQ:SFM</t>
  </si>
  <si>
    <t>US85208M1027</t>
  </si>
  <si>
    <t>NASDAQ:FN</t>
  </si>
  <si>
    <t>KYG3323L1005</t>
  </si>
  <si>
    <t>Sterling Infrastructure</t>
  </si>
  <si>
    <t>NASDAQ:STRL</t>
  </si>
  <si>
    <t>US8592411015</t>
  </si>
  <si>
    <t>Bloom Energy</t>
  </si>
  <si>
    <t>NASDAQ:BE</t>
  </si>
  <si>
    <t>US0937121079</t>
  </si>
  <si>
    <t>Credo Technology Group</t>
  </si>
  <si>
    <t>NASDAQ:CRDO</t>
  </si>
  <si>
    <t>KYG2542T1017</t>
  </si>
  <si>
    <t>Insmed</t>
  </si>
  <si>
    <t>NASDAQ:INSM</t>
  </si>
  <si>
    <t>US45765U1034</t>
  </si>
  <si>
    <t>Comfort Systems USA</t>
  </si>
  <si>
    <t>NASDAQ:FIX</t>
  </si>
  <si>
    <t>US1999081045</t>
  </si>
  <si>
    <t>Applied Industrial Technologies</t>
  </si>
  <si>
    <t>NASDAQ:AIT</t>
  </si>
  <si>
    <t>US03820C1053</t>
  </si>
  <si>
    <t>FTAI Aviation</t>
  </si>
  <si>
    <t>NASDAQ:FTAI</t>
  </si>
  <si>
    <t>US30283W1018</t>
  </si>
  <si>
    <t>Vaxcyte</t>
  </si>
  <si>
    <t>NASDAQ:PCVX</t>
  </si>
  <si>
    <t>US92243A1088</t>
  </si>
  <si>
    <t>RB Global</t>
  </si>
  <si>
    <t>NASDAQ:RBA</t>
  </si>
  <si>
    <t>CA7493541014</t>
  </si>
  <si>
    <t>Encore Wire</t>
  </si>
  <si>
    <t>NASDAQ:WIRE</t>
  </si>
  <si>
    <t>US2925621052</t>
  </si>
  <si>
    <t>Karman Holdings</t>
  </si>
  <si>
    <t>NASDAQ:KRMN</t>
  </si>
  <si>
    <t>US4859241048</t>
  </si>
  <si>
    <t>Rambus</t>
  </si>
  <si>
    <t>NASDAQ:RMBS</t>
  </si>
  <si>
    <t>US7509171069</t>
  </si>
  <si>
    <t>Celestica</t>
  </si>
  <si>
    <t>NASDAQ:CLS</t>
  </si>
  <si>
    <t>CA15101Q1005</t>
  </si>
  <si>
    <t>Novanta</t>
  </si>
  <si>
    <t>NASDAQ:NOVT</t>
  </si>
  <si>
    <t>US66987P1012</t>
  </si>
  <si>
    <t>Weatherford International</t>
  </si>
  <si>
    <t>NASDAQ:WFRD</t>
  </si>
  <si>
    <t>US9470753027</t>
  </si>
  <si>
    <t>EMCOR Group</t>
  </si>
  <si>
    <t>NASDAQ:EME</t>
  </si>
  <si>
    <t>US29084Q1004</t>
  </si>
  <si>
    <t>Astera Labs</t>
  </si>
  <si>
    <t>NASDAQ:ALAB</t>
  </si>
  <si>
    <t>US0462461014</t>
  </si>
  <si>
    <t>Chart Industries</t>
  </si>
  <si>
    <t>NASDAQ:GTLS</t>
  </si>
  <si>
    <t>US16115Q3013</t>
  </si>
  <si>
    <t>Axon Enterprise</t>
  </si>
  <si>
    <t>NASDAQ:AXON</t>
  </si>
  <si>
    <t>US05464C1018</t>
  </si>
  <si>
    <t>MACOM Technology Solutions</t>
  </si>
  <si>
    <t>NASDAQ:MTSI</t>
  </si>
  <si>
    <t>US55405W1045</t>
  </si>
  <si>
    <t>Exponent</t>
  </si>
  <si>
    <t>NASDAQ:EXPO</t>
  </si>
  <si>
    <t>US30214U1025</t>
  </si>
  <si>
    <t>Pinnacle Financial Partners</t>
  </si>
  <si>
    <t>NASDAQ:PNFP</t>
  </si>
  <si>
    <t>US72346Q1040</t>
  </si>
  <si>
    <t>Kinsale Capital Group</t>
  </si>
  <si>
    <t>NASDAQ:KNSL</t>
  </si>
  <si>
    <t>US49714P1012</t>
  </si>
  <si>
    <t>SPS Commerce</t>
  </si>
  <si>
    <t>NASDAQ:SPSC</t>
  </si>
  <si>
    <t>US78463M1018</t>
  </si>
  <si>
    <t>Ensign Group</t>
  </si>
  <si>
    <t>NASDAQ:ENSG</t>
  </si>
  <si>
    <t>US29358P1012</t>
  </si>
  <si>
    <t>Vital Farms</t>
  </si>
  <si>
    <t>NASDAQ:VITL</t>
  </si>
  <si>
    <t>US92847W1036</t>
  </si>
  <si>
    <t>Halozyme Therapeutics</t>
  </si>
  <si>
    <t>NASDAQ:HALO</t>
  </si>
  <si>
    <t>US40637H1095</t>
  </si>
  <si>
    <t>United Fire Group</t>
  </si>
  <si>
    <t>NASDAQ:UFCS</t>
  </si>
  <si>
    <t>US9103011055</t>
  </si>
  <si>
    <t>Piper Sandler Companies</t>
  </si>
  <si>
    <t>NASDAQ:PIPR</t>
  </si>
  <si>
    <t>US7240781002</t>
  </si>
  <si>
    <t>Selective Insurance Group</t>
  </si>
  <si>
    <t>NASDAQ:SIGI</t>
  </si>
  <si>
    <t>US8163001071</t>
  </si>
  <si>
    <t>Chemed Corp</t>
  </si>
  <si>
    <t>NASDAQ:CHE</t>
  </si>
  <si>
    <t>US16359R1032</t>
  </si>
  <si>
    <t>ICU Medical</t>
  </si>
  <si>
    <t>NASDAQ:ICUI</t>
  </si>
  <si>
    <t>US44930G1076</t>
  </si>
  <si>
    <t>UMB Financial</t>
  </si>
  <si>
    <t>NASDAQ:UMBF</t>
  </si>
  <si>
    <t>US9027881088</t>
  </si>
  <si>
    <t>Moog</t>
  </si>
  <si>
    <t>NASDAQ:MOG.A</t>
  </si>
  <si>
    <t>US6153941040</t>
  </si>
  <si>
    <t>BrightSpring Health Services</t>
  </si>
  <si>
    <t>NASDAQ:BTSG</t>
  </si>
  <si>
    <t>US10948C1045</t>
  </si>
  <si>
    <t>Cytokinetics</t>
  </si>
  <si>
    <t>NASDAQ:CYTK</t>
  </si>
  <si>
    <t>US23282W6057</t>
  </si>
  <si>
    <t>Hut 8</t>
  </si>
  <si>
    <t>NASDAQ:HUT</t>
  </si>
  <si>
    <t>CA4481221025</t>
  </si>
  <si>
    <t>e.l.f. Beauty</t>
  </si>
  <si>
    <t>NASDAQ:ELF</t>
  </si>
  <si>
    <t>US26856L1035</t>
  </si>
  <si>
    <t>Duolingo</t>
  </si>
  <si>
    <t>NASDAQ:DUOL</t>
  </si>
  <si>
    <t>US26603R1068</t>
  </si>
  <si>
    <t>Sprout Social</t>
  </si>
  <si>
    <t>NASDAQ:SPT</t>
  </si>
  <si>
    <t>US85209U1043</t>
  </si>
  <si>
    <t>Onto Innovation</t>
  </si>
  <si>
    <t>NASDAQ:ONTO</t>
  </si>
  <si>
    <t>US6833441039</t>
  </si>
  <si>
    <t>PROCEPT BioRobotics</t>
  </si>
  <si>
    <t>NASDAQ:PRCT</t>
  </si>
  <si>
    <t>US74277P1030</t>
  </si>
  <si>
    <t>Modine Manufacturing</t>
  </si>
  <si>
    <t>NASDAQ:MOD</t>
  </si>
  <si>
    <t>US6078281002</t>
  </si>
  <si>
    <t>Abercrombie &amp; Fitch</t>
  </si>
  <si>
    <t>NASDAQ:ANF</t>
  </si>
  <si>
    <t>US0028962076</t>
  </si>
  <si>
    <t>Insperity</t>
  </si>
  <si>
    <t>NASDAQ:NSP</t>
  </si>
  <si>
    <t>US45778Q1076</t>
  </si>
  <si>
    <t>Texas Pacific Land</t>
  </si>
  <si>
    <t>NASDAQ:TPL</t>
  </si>
  <si>
    <t>US8826211019</t>
  </si>
  <si>
    <t>Vertiv Holdings</t>
  </si>
  <si>
    <t>NASDAQ:VRT</t>
  </si>
  <si>
    <t>US92537N1081</t>
  </si>
  <si>
    <t>Acciones Japon</t>
  </si>
  <si>
    <t>Tokyo Stock Exchange</t>
  </si>
  <si>
    <t>TSE:7203</t>
  </si>
  <si>
    <t>JP3633400001</t>
  </si>
  <si>
    <t>JPY</t>
  </si>
  <si>
    <t>Nikkei Inc. / proveedor API (a configurar)</t>
  </si>
  <si>
    <t>TSE:6758</t>
  </si>
  <si>
    <t>JP3435000009</t>
  </si>
  <si>
    <t>TSE:6861</t>
  </si>
  <si>
    <t>JP3236200006</t>
  </si>
  <si>
    <t>TSE:8306</t>
  </si>
  <si>
    <t>JP3496400007</t>
  </si>
  <si>
    <t>TSE:9984</t>
  </si>
  <si>
    <t>JP3436100006</t>
  </si>
  <si>
    <t>Fast Retailing</t>
  </si>
  <si>
    <t>TSE:9983</t>
  </si>
  <si>
    <t>JP3802300008</t>
  </si>
  <si>
    <t>Tokyo Electron</t>
  </si>
  <si>
    <t>TSE:8035</t>
  </si>
  <si>
    <t>JP3571400005</t>
  </si>
  <si>
    <t>Hitachi</t>
  </si>
  <si>
    <t>TSE:6501</t>
  </si>
  <si>
    <t>JP3788600009</t>
  </si>
  <si>
    <t>Mitsubishi Corp</t>
  </si>
  <si>
    <t>TSE:8058</t>
  </si>
  <si>
    <t>JP3898400001</t>
  </si>
  <si>
    <t>TSE:7974</t>
  </si>
  <si>
    <t>JP3756600007</t>
  </si>
  <si>
    <t>Honda Motor</t>
  </si>
  <si>
    <t>TSE:7267</t>
  </si>
  <si>
    <t>JP3854600008</t>
  </si>
  <si>
    <t>KDDI</t>
  </si>
  <si>
    <t>TSE:9433</t>
  </si>
  <si>
    <t>Shin-Etsu Chemical</t>
  </si>
  <si>
    <t>TSE:4063</t>
  </si>
  <si>
    <t>JP3371200001</t>
  </si>
  <si>
    <t>Daiichi Sankyo</t>
  </si>
  <si>
    <t>TSE:4568</t>
  </si>
  <si>
    <t>JP3475300003</t>
  </si>
  <si>
    <t>Sumitomo Mitsui Financial Group</t>
  </si>
  <si>
    <t>TSE:8316</t>
  </si>
  <si>
    <t>JP3242800005</t>
  </si>
  <si>
    <t>Denso</t>
  </si>
  <si>
    <t>TSE:6902</t>
  </si>
  <si>
    <t>JP3551500006</t>
  </si>
  <si>
    <t>Nidec</t>
  </si>
  <si>
    <t>TSE:6594</t>
  </si>
  <si>
    <t>JP3734800000</t>
  </si>
  <si>
    <t>Canon</t>
  </si>
  <si>
    <t>TSE:7751</t>
  </si>
  <si>
    <t>JP3242600009</t>
  </si>
  <si>
    <t>Panasonic Holdings</t>
  </si>
  <si>
    <t>TSE:6752</t>
  </si>
  <si>
    <t>JP3866800000</t>
  </si>
  <si>
    <t>Recruit Holdings</t>
  </si>
  <si>
    <t>TSE:6098</t>
  </si>
  <si>
    <t>JP3970300004</t>
  </si>
  <si>
    <t>Mizuho Financial Group</t>
  </si>
  <si>
    <t>TSE:8411</t>
  </si>
  <si>
    <t>JP3885780001</t>
  </si>
  <si>
    <t>Mitsubishi Heavy Industries</t>
  </si>
  <si>
    <t>TSE:7011</t>
  </si>
  <si>
    <t>JP3900000005</t>
  </si>
  <si>
    <t>Murata Manufacturing</t>
  </si>
  <si>
    <t>TSE:6981</t>
  </si>
  <si>
    <t>JP3914400001</t>
  </si>
  <si>
    <t>Fanuc</t>
  </si>
  <si>
    <t>TSE:6954</t>
  </si>
  <si>
    <t>JP3802400006</t>
  </si>
  <si>
    <t>Chugai Pharmaceutical</t>
  </si>
  <si>
    <t>TSE:4519</t>
  </si>
  <si>
    <t>JP3519400000</t>
  </si>
  <si>
    <t>ORIX</t>
  </si>
  <si>
    <t>TSE:8591</t>
  </si>
  <si>
    <t>JP3200450009</t>
  </si>
  <si>
    <t>Bridgestone</t>
  </si>
  <si>
    <t>TSE:5108</t>
  </si>
  <si>
    <t>JP3830800003</t>
  </si>
  <si>
    <t>Nippon Telegraph and Telephone</t>
  </si>
  <si>
    <t>TSE:9432</t>
  </si>
  <si>
    <t>JP3735400008</t>
  </si>
  <si>
    <t>Sekisui House</t>
  </si>
  <si>
    <t>TSE:1928</t>
  </si>
  <si>
    <t>JP3420600003</t>
  </si>
  <si>
    <t>Terumo</t>
  </si>
  <si>
    <t>TSE:4543</t>
  </si>
  <si>
    <t>JP3546800008</t>
  </si>
  <si>
    <t>Daikin Industries</t>
  </si>
  <si>
    <t>TSE:6367</t>
  </si>
  <si>
    <t>JP3481800005</t>
  </si>
  <si>
    <t>Advantest</t>
  </si>
  <si>
    <t>TSE:6857</t>
  </si>
  <si>
    <t>JP3122400009</t>
  </si>
  <si>
    <t>Takeda Pharmaceutical</t>
  </si>
  <si>
    <t>TSE:4502</t>
  </si>
  <si>
    <t>JP3463000004</t>
  </si>
  <si>
    <t>Seven &amp; I Holdings</t>
  </si>
  <si>
    <t>TSE:3382</t>
  </si>
  <si>
    <t>JP3422950000</t>
  </si>
  <si>
    <t>SoftBank Corp</t>
  </si>
  <si>
    <t>TSE:9434</t>
  </si>
  <si>
    <t>JP3732000009</t>
  </si>
  <si>
    <t>Kao</t>
  </si>
  <si>
    <t>TSE:4452</t>
  </si>
  <si>
    <t>JP3205800000</t>
  </si>
  <si>
    <t>Suzuki Motor</t>
  </si>
  <si>
    <t>TSE:7269</t>
  </si>
  <si>
    <t>JP3397200001</t>
  </si>
  <si>
    <t>Sompo Holdings</t>
  </si>
  <si>
    <t>TSE:8630</t>
  </si>
  <si>
    <t>JP3414900002</t>
  </si>
  <si>
    <t>Nomura Holdings</t>
  </si>
  <si>
    <t>TSE:8604</t>
  </si>
  <si>
    <t>JP3762600009</t>
  </si>
  <si>
    <t>Central Japan Railway</t>
  </si>
  <si>
    <t>TSE:9022</t>
  </si>
  <si>
    <t>JP3566800003</t>
  </si>
  <si>
    <t>East Japan Railway</t>
  </si>
  <si>
    <t>TSE:9020</t>
  </si>
  <si>
    <t>JP3783600004</t>
  </si>
  <si>
    <t>Shiseido</t>
  </si>
  <si>
    <t>TSE:4911</t>
  </si>
  <si>
    <t>JP3351600006</t>
  </si>
  <si>
    <t>Asahi Group Holdings</t>
  </si>
  <si>
    <t>TSE:2502</t>
  </si>
  <si>
    <t>JP3116000005</t>
  </si>
  <si>
    <t>Nissan Motor</t>
  </si>
  <si>
    <t>TSE:7201</t>
  </si>
  <si>
    <t>JP3672400003</t>
  </si>
  <si>
    <t>Marubeni</t>
  </si>
  <si>
    <t>TSE:8002</t>
  </si>
  <si>
    <t>JP3877600001</t>
  </si>
  <si>
    <t>Sumitomo Corp</t>
  </si>
  <si>
    <t>TSE:8053</t>
  </si>
  <si>
    <t>JP3404600003</t>
  </si>
  <si>
    <t>Itochu</t>
  </si>
  <si>
    <t>TSE:8001</t>
  </si>
  <si>
    <t>JP3143600009</t>
  </si>
  <si>
    <t>Yamaha Motor</t>
  </si>
  <si>
    <t>TSE:7272</t>
  </si>
  <si>
    <t>JP3942600002</t>
  </si>
  <si>
    <t>Japan Tobacco</t>
  </si>
  <si>
    <t>TSE:2914</t>
  </si>
  <si>
    <t>JP3726200000</t>
  </si>
  <si>
    <t>Sumitomo Mitsui Trust Holdings</t>
  </si>
  <si>
    <t>TSE:8309</t>
  </si>
  <si>
    <t>JP3406300003</t>
  </si>
  <si>
    <t>London Stock Exchange</t>
  </si>
  <si>
    <t>LSE:AZN</t>
  </si>
  <si>
    <t>GB0009895292</t>
  </si>
  <si>
    <t>GBP</t>
  </si>
  <si>
    <t>FTSE Russell / proveedor API (a configurar)</t>
  </si>
  <si>
    <t>LSE:SHEL</t>
  </si>
  <si>
    <t>GB00BP6MXD84</t>
  </si>
  <si>
    <t>LSE:HSBA</t>
  </si>
  <si>
    <t>GB0005405286</t>
  </si>
  <si>
    <t>LSE:ULVR</t>
  </si>
  <si>
    <t>GB00B10RZP78</t>
  </si>
  <si>
    <t>LSE:BP</t>
  </si>
  <si>
    <t>GB0007980591</t>
  </si>
  <si>
    <t>GSK</t>
  </si>
  <si>
    <t>LSE:GSK</t>
  </si>
  <si>
    <t>GB00BN7Z0W14</t>
  </si>
  <si>
    <t>Diageo</t>
  </si>
  <si>
    <t>LSE:DGE</t>
  </si>
  <si>
    <t>GB0002374006</t>
  </si>
  <si>
    <t>LSE:RIO</t>
  </si>
  <si>
    <t>GB0007188757</t>
  </si>
  <si>
    <t>British American Tobacco</t>
  </si>
  <si>
    <t>LSE:BATS</t>
  </si>
  <si>
    <t>GB0002875804</t>
  </si>
  <si>
    <t>Reckitt Benckiser</t>
  </si>
  <si>
    <t>LSE:RKT</t>
  </si>
  <si>
    <t>GB00B24CGK51</t>
  </si>
  <si>
    <t>National Grid</t>
  </si>
  <si>
    <t>LSE:NG</t>
  </si>
  <si>
    <t>GB00BDR05C01</t>
  </si>
  <si>
    <t>Rolls-Royce Holdings</t>
  </si>
  <si>
    <t>LSE:RR</t>
  </si>
  <si>
    <t>GB00B63H8491</t>
  </si>
  <si>
    <t>Glencore</t>
  </si>
  <si>
    <t>LSE:GLEN</t>
  </si>
  <si>
    <t>JE00B4T3BW64</t>
  </si>
  <si>
    <t>BAE Systems</t>
  </si>
  <si>
    <t>LSE:BA</t>
  </si>
  <si>
    <t>GB0002631741</t>
  </si>
  <si>
    <t>Lloyds Banking Group</t>
  </si>
  <si>
    <t>LSE:LLOY</t>
  </si>
  <si>
    <t>GB0008706128</t>
  </si>
  <si>
    <t>Barclays</t>
  </si>
  <si>
    <t>LSE:BARC</t>
  </si>
  <si>
    <t>GB0031348658</t>
  </si>
  <si>
    <t>LSE:VOD</t>
  </si>
  <si>
    <t>GB00BH4HKS39</t>
  </si>
  <si>
    <t>Tesco</t>
  </si>
  <si>
    <t>LSE:TSCO</t>
  </si>
  <si>
    <t>GB00BLG30E97</t>
  </si>
  <si>
    <t>Prudential</t>
  </si>
  <si>
    <t>LSE:PRU</t>
  </si>
  <si>
    <t>GB0007099541</t>
  </si>
  <si>
    <t>Aviva</t>
  </si>
  <si>
    <t>LSE:AV</t>
  </si>
  <si>
    <t>GB00BPQY8M80</t>
  </si>
  <si>
    <t>Legal &amp; General Group</t>
  </si>
  <si>
    <t>LSE:LGEN</t>
  </si>
  <si>
    <t>GB0005603997</t>
  </si>
  <si>
    <t>Compass Group</t>
  </si>
  <si>
    <t>LSE:CPG</t>
  </si>
  <si>
    <t>GB00BD6K4575</t>
  </si>
  <si>
    <t>RELX</t>
  </si>
  <si>
    <t>LSE:REL</t>
  </si>
  <si>
    <t>GB00B2B0DG97</t>
  </si>
  <si>
    <t>London Stock Exchange Group</t>
  </si>
  <si>
    <t>LSE:LSEG</t>
  </si>
  <si>
    <t>GB00B0SWJX34</t>
  </si>
  <si>
    <t>Anglo American</t>
  </si>
  <si>
    <t>LSE:AAL</t>
  </si>
  <si>
    <t>GB00B1XZS820</t>
  </si>
  <si>
    <t>Standard Chartered</t>
  </si>
  <si>
    <t>LSE:STAN</t>
  </si>
  <si>
    <t>GB0004082847</t>
  </si>
  <si>
    <t>NatWest Group</t>
  </si>
  <si>
    <t>LSE:NWG</t>
  </si>
  <si>
    <t>GB00BM8PJY71</t>
  </si>
  <si>
    <t>Next</t>
  </si>
  <si>
    <t>LSE:NXT</t>
  </si>
  <si>
    <t>GB0032089863</t>
  </si>
  <si>
    <t>Sage Group</t>
  </si>
  <si>
    <t>LSE:SGE</t>
  </si>
  <si>
    <t>GB00B8C3BL03</t>
  </si>
  <si>
    <t>Whitbread</t>
  </si>
  <si>
    <t>LSE:WTB</t>
  </si>
  <si>
    <t>GB00B1KJJ408</t>
  </si>
  <si>
    <t>Ashtead Group</t>
  </si>
  <si>
    <t>LSE:AHT</t>
  </si>
  <si>
    <t>GB0000533264</t>
  </si>
  <si>
    <t>Croda International</t>
  </si>
  <si>
    <t>LSE:CRDA</t>
  </si>
  <si>
    <t>GB00BJFFLV09</t>
  </si>
  <si>
    <t>Smith &amp; Nephew</t>
  </si>
  <si>
    <t>LSE:SN</t>
  </si>
  <si>
    <t>GB0009223206</t>
  </si>
  <si>
    <t>Pearson</t>
  </si>
  <si>
    <t>LSE:PSON</t>
  </si>
  <si>
    <t>GB0006731235</t>
  </si>
  <si>
    <t>Imperial Brands</t>
  </si>
  <si>
    <t>LSE:IMB</t>
  </si>
  <si>
    <t>GB0004544929</t>
  </si>
  <si>
    <t>Antofagasta</t>
  </si>
  <si>
    <t>LSE:ANTO</t>
  </si>
  <si>
    <t>GB0000456144</t>
  </si>
  <si>
    <t>InterContinental Hotels Group</t>
  </si>
  <si>
    <t>LSE:IHG</t>
  </si>
  <si>
    <t>GB00BMYY9G15</t>
  </si>
  <si>
    <t>3i Group</t>
  </si>
  <si>
    <t>LSE:III</t>
  </si>
  <si>
    <t>GB00B1YW4409</t>
  </si>
  <si>
    <t>Melrose Industries</t>
  </si>
  <si>
    <t>LSE:MRO</t>
  </si>
  <si>
    <t>GB00BN7Z0X21</t>
  </si>
  <si>
    <t>Halma</t>
  </si>
  <si>
    <t>LSE:HLMA</t>
  </si>
  <si>
    <t>GB0004052071</t>
  </si>
  <si>
    <t>Spirax Group</t>
  </si>
  <si>
    <t>LSE:SPX</t>
  </si>
  <si>
    <t>GB00BWXC7Y93</t>
  </si>
  <si>
    <t>JD Sports Fashion</t>
  </si>
  <si>
    <t>LSE:JD</t>
  </si>
  <si>
    <t>GB00BMX07392</t>
  </si>
  <si>
    <t>SSE</t>
  </si>
  <si>
    <t>LSE:SSE</t>
  </si>
  <si>
    <t>GB0007908733</t>
  </si>
  <si>
    <t>United Utilities Group</t>
  </si>
  <si>
    <t>LSE:UU</t>
  </si>
  <si>
    <t>GB00B39J2M75</t>
  </si>
  <si>
    <t>Severn Trent</t>
  </si>
  <si>
    <t>LSE:SVT</t>
  </si>
  <si>
    <t>GB00B1FH8M83</t>
  </si>
  <si>
    <t>Centrica</t>
  </si>
  <si>
    <t>LSE:CNA</t>
  </si>
  <si>
    <t>GB00B033F229</t>
  </si>
  <si>
    <t>Rentokil Initial</t>
  </si>
  <si>
    <t>LSE:RTO</t>
  </si>
  <si>
    <t>GB00B082RF11</t>
  </si>
  <si>
    <t>Auto Trader Group</t>
  </si>
  <si>
    <t>LSE:AUTO</t>
  </si>
  <si>
    <t>GB00BVYVFW23</t>
  </si>
  <si>
    <t>Persimmon</t>
  </si>
  <si>
    <t>LSE:PSN</t>
  </si>
  <si>
    <t>GB0006825383</t>
  </si>
  <si>
    <t>Bunzl</t>
  </si>
  <si>
    <t>LSE:BNZL</t>
  </si>
  <si>
    <t>GB00B0744B38</t>
  </si>
  <si>
    <t>Borsa Italiana (Euronext Milan)</t>
  </si>
  <si>
    <t>MIL:ENEL</t>
  </si>
  <si>
    <t>IT0003128367</t>
  </si>
  <si>
    <t>Euronext / proveedor API (a configurar) (indice compuesto por solo 40 valores; se listan todos)</t>
  </si>
  <si>
    <t>MIL:ENI</t>
  </si>
  <si>
    <t>IT0003132476</t>
  </si>
  <si>
    <t>MIL:ISP</t>
  </si>
  <si>
    <t>IT0000072618</t>
  </si>
  <si>
    <t>MIL:UCG</t>
  </si>
  <si>
    <t>IT0005239360</t>
  </si>
  <si>
    <t>Ferrari</t>
  </si>
  <si>
    <t>MIL:RACE</t>
  </si>
  <si>
    <t>NL0011585146</t>
  </si>
  <si>
    <t>Stellantis</t>
  </si>
  <si>
    <t>MIL:STLAM</t>
  </si>
  <si>
    <t>NL00150001Q9</t>
  </si>
  <si>
    <t>Assicurazioni Generali</t>
  </si>
  <si>
    <t>MIL:G</t>
  </si>
  <si>
    <t>IT0000062014</t>
  </si>
  <si>
    <t>STMicroelectronics</t>
  </si>
  <si>
    <t>MIL:STM</t>
  </si>
  <si>
    <t>NL0000226223</t>
  </si>
  <si>
    <t>Prysmian</t>
  </si>
  <si>
    <t>MIL:PRY</t>
  </si>
  <si>
    <t>IT0004176001</t>
  </si>
  <si>
    <t>Poste Italiane</t>
  </si>
  <si>
    <t>MIL:PST</t>
  </si>
  <si>
    <t>IT0003793443</t>
  </si>
  <si>
    <t>Terna</t>
  </si>
  <si>
    <t>MIL:TRN</t>
  </si>
  <si>
    <t>IT0003242623</t>
  </si>
  <si>
    <t>Snam</t>
  </si>
  <si>
    <t>MIL:SRG</t>
  </si>
  <si>
    <t>IT0003153415</t>
  </si>
  <si>
    <t>Moncler</t>
  </si>
  <si>
    <t>MIL:MONC</t>
  </si>
  <si>
    <t>IT0004965148</t>
  </si>
  <si>
    <t>Leonardo</t>
  </si>
  <si>
    <t>MIL:LDO</t>
  </si>
  <si>
    <t>IT0003856405</t>
  </si>
  <si>
    <t>Mediobanca</t>
  </si>
  <si>
    <t>MIL:MB</t>
  </si>
  <si>
    <t>IT0000062977</t>
  </si>
  <si>
    <t>Banco BPM</t>
  </si>
  <si>
    <t>MIL:BAMI</t>
  </si>
  <si>
    <t>IT0005218380</t>
  </si>
  <si>
    <t>BPER Banca</t>
  </si>
  <si>
    <t>MIL:BPE</t>
  </si>
  <si>
    <t>IT0005386500</t>
  </si>
  <si>
    <t>Recordati</t>
  </si>
  <si>
    <t>MIL:REC</t>
  </si>
  <si>
    <t>IT0003828271</t>
  </si>
  <si>
    <t>Nexi</t>
  </si>
  <si>
    <t>MIL:NEXI</t>
  </si>
  <si>
    <t>IT0005366767</t>
  </si>
  <si>
    <t>Inwit</t>
  </si>
  <si>
    <t>MIL:INW</t>
  </si>
  <si>
    <t>IT0005090300</t>
  </si>
  <si>
    <t>Amplifon</t>
  </si>
  <si>
    <t>MIL:AMP</t>
  </si>
  <si>
    <t>IT0003506191</t>
  </si>
  <si>
    <t>FinecoBank</t>
  </si>
  <si>
    <t>MIL:FBK</t>
  </si>
  <si>
    <t>IT0000072170</t>
  </si>
  <si>
    <t>Davide Campari-Milano</t>
  </si>
  <si>
    <t>MIL:CPR</t>
  </si>
  <si>
    <t>NL0015435975</t>
  </si>
  <si>
    <t>Interpump Group</t>
  </si>
  <si>
    <t>MIL:IP</t>
  </si>
  <si>
    <t>IT0001078911</t>
  </si>
  <si>
    <t>Saipem</t>
  </si>
  <si>
    <t>MIL:SPM</t>
  </si>
  <si>
    <t>IT0005495657</t>
  </si>
  <si>
    <t>Tenaris</t>
  </si>
  <si>
    <t>MIL:TEN</t>
  </si>
  <si>
    <t>LU0156801721</t>
  </si>
  <si>
    <t>DiaSorin</t>
  </si>
  <si>
    <t>MIL:DIA</t>
  </si>
  <si>
    <t>IT0003492391</t>
  </si>
  <si>
    <t>Banca Mediolanum</t>
  </si>
  <si>
    <t>MIL:BMED</t>
  </si>
  <si>
    <t>IT0001279311</t>
  </si>
  <si>
    <t>Iveco Group</t>
  </si>
  <si>
    <t>MIL:IVG</t>
  </si>
  <si>
    <t>NL0015000LU4</t>
  </si>
  <si>
    <t>Buzzi</t>
  </si>
  <si>
    <t>MIL:BZU</t>
  </si>
  <si>
    <t>IT0005546160</t>
  </si>
  <si>
    <t>A2A</t>
  </si>
  <si>
    <t>MIL:A2A</t>
  </si>
  <si>
    <t>IT0001233417</t>
  </si>
  <si>
    <t>Hera</t>
  </si>
  <si>
    <t>MIL:HER</t>
  </si>
  <si>
    <t>IT0001250932</t>
  </si>
  <si>
    <t>Telecom Italia</t>
  </si>
  <si>
    <t>MIL:TIT</t>
  </si>
  <si>
    <t>IT0003497168</t>
  </si>
  <si>
    <t>Azimut Holding</t>
  </si>
  <si>
    <t>MIL:AZM</t>
  </si>
  <si>
    <t>IT0003261698</t>
  </si>
  <si>
    <t>Banca Popolare di Sondrio</t>
  </si>
  <si>
    <t>MIL:BPSO</t>
  </si>
  <si>
    <t>IT0000078193</t>
  </si>
  <si>
    <t>Brunello Cucinelli</t>
  </si>
  <si>
    <t>MIL:BC</t>
  </si>
  <si>
    <t>IT0004764699</t>
  </si>
  <si>
    <t>Banca Monte dei Paschi di Siena</t>
  </si>
  <si>
    <t>MIL:BMPS</t>
  </si>
  <si>
    <t>IT0005218166</t>
  </si>
  <si>
    <t>Unipol Gruppo</t>
  </si>
  <si>
    <t>MIL:UNI</t>
  </si>
  <si>
    <t>IT0004810054</t>
  </si>
  <si>
    <t>Pirelli &amp; C.</t>
  </si>
  <si>
    <t>MIL:PIRC</t>
  </si>
  <si>
    <t>IT0005278236</t>
  </si>
  <si>
    <t>Italgas</t>
  </si>
  <si>
    <t>MIL:IG</t>
  </si>
  <si>
    <t>IT0005211237</t>
  </si>
  <si>
    <t>EURONEXT:MC</t>
  </si>
  <si>
    <t>EURONEXT:OR</t>
  </si>
  <si>
    <t>FR0000120321</t>
  </si>
  <si>
    <t>EURONEXT:TTE</t>
  </si>
  <si>
    <t>FR0000120271</t>
  </si>
  <si>
    <t>EURONEXT:SAN</t>
  </si>
  <si>
    <t>FR0000120578</t>
  </si>
  <si>
    <t>EURONEXT:SU</t>
  </si>
  <si>
    <t>FR0000121972</t>
  </si>
  <si>
    <t>EURONEXT:AI</t>
  </si>
  <si>
    <t>FR0000120073</t>
  </si>
  <si>
    <t>EURONEXT:BNP</t>
  </si>
  <si>
    <t>FR0000131104</t>
  </si>
  <si>
    <t>EURONEXT:CS</t>
  </si>
  <si>
    <t>FR0000120628</t>
  </si>
  <si>
    <t>Hermès International</t>
  </si>
  <si>
    <t>EURONEXT:RMS</t>
  </si>
  <si>
    <t>FR0000052292</t>
  </si>
  <si>
    <t>Kering</t>
  </si>
  <si>
    <t>EURONEXT:KER</t>
  </si>
  <si>
    <t>FR0000121485</t>
  </si>
  <si>
    <t>Vinci</t>
  </si>
  <si>
    <t>EURONEXT:DG</t>
  </si>
  <si>
    <t>FR0000125486</t>
  </si>
  <si>
    <t>Danone</t>
  </si>
  <si>
    <t>EURONEXT:BN</t>
  </si>
  <si>
    <t>FR0000120644</t>
  </si>
  <si>
    <t>EssilorLuxottica</t>
  </si>
  <si>
    <t>EURONEXT:EL</t>
  </si>
  <si>
    <t>FR0000121667</t>
  </si>
  <si>
    <t>EURONEXT:SGO</t>
  </si>
  <si>
    <t>FR0000125007</t>
  </si>
  <si>
    <t>EURONEXT:SAF</t>
  </si>
  <si>
    <t>FR0000073272</t>
  </si>
  <si>
    <t>Michelin</t>
  </si>
  <si>
    <t>EURONEXT:ML</t>
  </si>
  <si>
    <t>FR001400AJ45</t>
  </si>
  <si>
    <t>Société Générale</t>
  </si>
  <si>
    <t>EURONEXT:GLE</t>
  </si>
  <si>
    <t>FR0000130809</t>
  </si>
  <si>
    <t>Crédit Agricole</t>
  </si>
  <si>
    <t>EURONEXT:ACA</t>
  </si>
  <si>
    <t>FR0000045072</t>
  </si>
  <si>
    <t>Orange</t>
  </si>
  <si>
    <t>EURONEXT:ORA</t>
  </si>
  <si>
    <t>FR0000133308</t>
  </si>
  <si>
    <t>Publicis Groupe</t>
  </si>
  <si>
    <t>EURONEXT:PUB</t>
  </si>
  <si>
    <t>FR0000130577</t>
  </si>
  <si>
    <t>Legrand</t>
  </si>
  <si>
    <t>EURONEXT:LR</t>
  </si>
  <si>
    <t>FR0010307819</t>
  </si>
  <si>
    <t>Dassault Systèmes</t>
  </si>
  <si>
    <t>EURONEXT:DSY</t>
  </si>
  <si>
    <t>FR0014003TT8</t>
  </si>
  <si>
    <t>Capgemini</t>
  </si>
  <si>
    <t>EURONEXT:CAP</t>
  </si>
  <si>
    <t>FR0000125338</t>
  </si>
  <si>
    <t>Bouygues</t>
  </si>
  <si>
    <t>EURONEXT:EN</t>
  </si>
  <si>
    <t>FR0000120503</t>
  </si>
  <si>
    <t>Engie</t>
  </si>
  <si>
    <t>EURONEXT:ENGI</t>
  </si>
  <si>
    <t>FR0010208488</t>
  </si>
  <si>
    <t>Veolia Environnement</t>
  </si>
  <si>
    <t>EURONEXT:VIE</t>
  </si>
  <si>
    <t>FR0000124141</t>
  </si>
  <si>
    <t>Thales</t>
  </si>
  <si>
    <t>EURONEXT:HO</t>
  </si>
  <si>
    <t>FR0000121329</t>
  </si>
  <si>
    <t>Carrefour</t>
  </si>
  <si>
    <t>EURONEXT:CA</t>
  </si>
  <si>
    <t>FR0000120172</t>
  </si>
  <si>
    <t>Renault</t>
  </si>
  <si>
    <t>EURONEXT:RNO</t>
  </si>
  <si>
    <t>FR0000131906</t>
  </si>
  <si>
    <t>EURONEXT:MT</t>
  </si>
  <si>
    <t>Teleperformance</t>
  </si>
  <si>
    <t>EURONEXT:TEP</t>
  </si>
  <si>
    <t>FR0000051807</t>
  </si>
  <si>
    <t>Eurofins Scientific</t>
  </si>
  <si>
    <t>EURONEXT:ERF</t>
  </si>
  <si>
    <t>FR0014008Z10</t>
  </si>
  <si>
    <t>Pernod Ricard</t>
  </si>
  <si>
    <t>EURONEXT:RI</t>
  </si>
  <si>
    <t>FR0000120693</t>
  </si>
  <si>
    <t>Unibail-Rodamco-Westfield</t>
  </si>
  <si>
    <t>EURONEXT:URW</t>
  </si>
  <si>
    <t>FR0013326246</t>
  </si>
  <si>
    <t>Worldline</t>
  </si>
  <si>
    <t>EURONEXT:WLN</t>
  </si>
  <si>
    <t>FR0011981968</t>
  </si>
  <si>
    <t>Edenred</t>
  </si>
  <si>
    <t>EURONEXT:EDEN</t>
  </si>
  <si>
    <t>FR0010908533</t>
  </si>
  <si>
    <t>Alstom</t>
  </si>
  <si>
    <t>EURONEXT:ALO</t>
  </si>
  <si>
    <t>FR0010220475</t>
  </si>
  <si>
    <t>EURONEXT:STLAP</t>
  </si>
  <si>
    <t>Air France-KLM</t>
  </si>
  <si>
    <t>EURONEXT:AF</t>
  </si>
  <si>
    <t>FR001400J770</t>
  </si>
  <si>
    <t>Bureau Veritas</t>
  </si>
  <si>
    <t>EURONEXT:BVI</t>
  </si>
  <si>
    <t>FR0006174348</t>
  </si>
  <si>
    <t>Euronext Amsterdam</t>
  </si>
  <si>
    <t>EURONEXT:ASML</t>
  </si>
  <si>
    <t>NL0010273215</t>
  </si>
  <si>
    <t>Euronext / proveedor API (a configurar) (indice compuesto por solo 25 valores; se listan todos)</t>
  </si>
  <si>
    <t>EURONEXT:PRX</t>
  </si>
  <si>
    <t>NL0013654783</t>
  </si>
  <si>
    <t>EURONEXT:ADYEN</t>
  </si>
  <si>
    <t>NL0012969182</t>
  </si>
  <si>
    <t>ING Groep</t>
  </si>
  <si>
    <t>EURONEXT:INGA</t>
  </si>
  <si>
    <t>NL0011821202</t>
  </si>
  <si>
    <t>Heineken</t>
  </si>
  <si>
    <t>EURONEXT:HEIA</t>
  </si>
  <si>
    <t>NL0000009165</t>
  </si>
  <si>
    <t>Wolters Kluwer</t>
  </si>
  <si>
    <t>EURONEXT:WKL</t>
  </si>
  <si>
    <t>NL0000395903</t>
  </si>
  <si>
    <t>Ahold Delhaize</t>
  </si>
  <si>
    <t>EURONEXT:AD</t>
  </si>
  <si>
    <t>NL0011794037</t>
  </si>
  <si>
    <t>Koninklijke Philips</t>
  </si>
  <si>
    <t>EURONEXT:PHIA</t>
  </si>
  <si>
    <t>NL0000009538</t>
  </si>
  <si>
    <t>DSM-Firmenich</t>
  </si>
  <si>
    <t>EURONEXT:DSFIR</t>
  </si>
  <si>
    <t>CH1216478543</t>
  </si>
  <si>
    <t>Koninklijke KPN</t>
  </si>
  <si>
    <t>EURONEXT:KPN</t>
  </si>
  <si>
    <t>NL0000009082</t>
  </si>
  <si>
    <t>NN Group</t>
  </si>
  <si>
    <t>EURONEXT:NN</t>
  </si>
  <si>
    <t>NL0010773842</t>
  </si>
  <si>
    <t>ASM International</t>
  </si>
  <si>
    <t>EURONEXT:ASM</t>
  </si>
  <si>
    <t>NL0000334118</t>
  </si>
  <si>
    <t>Randstad</t>
  </si>
  <si>
    <t>EURONEXT:RAND</t>
  </si>
  <si>
    <t>NL0000379121</t>
  </si>
  <si>
    <t>Universal Music Group</t>
  </si>
  <si>
    <t>EURONEXT:UMG</t>
  </si>
  <si>
    <t>NL0015000IY2</t>
  </si>
  <si>
    <t>Aegon</t>
  </si>
  <si>
    <t>EURONEXT:AGN</t>
  </si>
  <si>
    <t>NL0000303709</t>
  </si>
  <si>
    <t>IMCD</t>
  </si>
  <si>
    <t>EURONEXT:IMCD</t>
  </si>
  <si>
    <t>NL0010801007</t>
  </si>
  <si>
    <t>Signify</t>
  </si>
  <si>
    <t>EURONEXT:LIGHT</t>
  </si>
  <si>
    <t>NL0011821392</t>
  </si>
  <si>
    <t>Arcadis</t>
  </si>
  <si>
    <t>EURONEXT:ARCAD</t>
  </si>
  <si>
    <t>NL0006237562</t>
  </si>
  <si>
    <t>Akzo Nobel</t>
  </si>
  <si>
    <t>EURONEXT:AKZA</t>
  </si>
  <si>
    <t>NL0013267909</t>
  </si>
  <si>
    <t>Just Eat Takeaway.com</t>
  </si>
  <si>
    <t>EURONEXT:TKWY</t>
  </si>
  <si>
    <t>NL0012015705</t>
  </si>
  <si>
    <t>EXOR</t>
  </si>
  <si>
    <t>EURONEXT:EXO</t>
  </si>
  <si>
    <t>NL0012059018</t>
  </si>
  <si>
    <t>ABN AMRO Bank</t>
  </si>
  <si>
    <t>EURONEXT:ABN</t>
  </si>
  <si>
    <t>NL0011540547</t>
  </si>
  <si>
    <t>Basic-Fit</t>
  </si>
  <si>
    <t>EURONEXT:BFIT</t>
  </si>
  <si>
    <t>NL0011872650</t>
  </si>
  <si>
    <t>Fugro</t>
  </si>
  <si>
    <t>EURONEXT:FUGRO</t>
  </si>
  <si>
    <t>NL00150003E1</t>
  </si>
  <si>
    <t>Corbion</t>
  </si>
  <si>
    <t>EURONEXT:CRBN</t>
  </si>
  <si>
    <t>NL0010583399</t>
  </si>
  <si>
    <t>Acciones USA - Activo 0398 (PENDIENTE de vincular)</t>
  </si>
  <si>
    <t>AU0398</t>
  </si>
  <si>
    <t>Pendiente de configurar</t>
  </si>
  <si>
    <t>Acciones USA - Activo 0399 (PENDIENTE de vincular)</t>
  </si>
  <si>
    <t>AU0399</t>
  </si>
  <si>
    <t>Acciones USA - Activo 0400 (PENDIENTE de vincular)</t>
  </si>
  <si>
    <t>AU0400</t>
  </si>
  <si>
    <t>Forex - Activo 0001 (PENDIENTE de vincular)</t>
  </si>
  <si>
    <t>F0001</t>
  </si>
  <si>
    <t>Forex - Activo 0002 (PENDIENTE de vincular)</t>
  </si>
  <si>
    <t>F0002</t>
  </si>
  <si>
    <t>Forex - Activo 0003 (PENDIENTE de vincular)</t>
  </si>
  <si>
    <t>F0003</t>
  </si>
  <si>
    <t>Forex - Activo 0004 (PENDIENTE de vincular)</t>
  </si>
  <si>
    <t>F0004</t>
  </si>
  <si>
    <t>Forex - Activo 0005 (PENDIENTE de vincular)</t>
  </si>
  <si>
    <t>F0005</t>
  </si>
  <si>
    <t>Forex - Activo 0006 (PENDIENTE de vincular)</t>
  </si>
  <si>
    <t>F0006</t>
  </si>
  <si>
    <t>Forex - Activo 0007 (PENDIENTE de vincular)</t>
  </si>
  <si>
    <t>F0007</t>
  </si>
  <si>
    <t>Forex - Activo 0008 (PENDIENTE de vincular)</t>
  </si>
  <si>
    <t>F0008</t>
  </si>
  <si>
    <t>Forex - Activo 0009 (PENDIENTE de vincular)</t>
  </si>
  <si>
    <t>F0009</t>
  </si>
  <si>
    <t>Forex - Activo 0010 (PENDIENTE de vincular)</t>
  </si>
  <si>
    <t>F0010</t>
  </si>
  <si>
    <t>Forex - Activo 0011 (PENDIENTE de vincular)</t>
  </si>
  <si>
    <t>F0011</t>
  </si>
  <si>
    <t>Forex - Activo 0012 (PENDIENTE de vincular)</t>
  </si>
  <si>
    <t>F0012</t>
  </si>
  <si>
    <t>Forex - Activo 0013 (PENDIENTE de vincular)</t>
  </si>
  <si>
    <t>F0013</t>
  </si>
  <si>
    <t>Forex - Activo 0014 (PENDIENTE de vincular)</t>
  </si>
  <si>
    <t>F0014</t>
  </si>
  <si>
    <t>Forex - Activo 0015 (PENDIENTE de vincular)</t>
  </si>
  <si>
    <t>F0015</t>
  </si>
  <si>
    <t>Forex - Activo 0016 (PENDIENTE de vincular)</t>
  </si>
  <si>
    <t>F0016</t>
  </si>
  <si>
    <t>Forex - Activo 0017 (PENDIENTE de vincular)</t>
  </si>
  <si>
    <t>F0017</t>
  </si>
  <si>
    <t>Forex - Activo 0018 (PENDIENTE de vincular)</t>
  </si>
  <si>
    <t>F0018</t>
  </si>
  <si>
    <t>Forex - Activo 0019 (PENDIENTE de vincular)</t>
  </si>
  <si>
    <t>F0019</t>
  </si>
  <si>
    <t>Forex - Activo 0020 (PENDIENTE de vincular)</t>
  </si>
  <si>
    <t>F0020</t>
  </si>
  <si>
    <t>Forex - Activo 0021 (PENDIENTE de vincular)</t>
  </si>
  <si>
    <t>F0021</t>
  </si>
  <si>
    <t>Forex - Activo 0022 (PENDIENTE de vincular)</t>
  </si>
  <si>
    <t>F0022</t>
  </si>
  <si>
    <t>Forex - Activo 0023 (PENDIENTE de vincular)</t>
  </si>
  <si>
    <t>F0023</t>
  </si>
  <si>
    <t>Forex - Activo 0024 (PENDIENTE de vincular)</t>
  </si>
  <si>
    <t>F0024</t>
  </si>
  <si>
    <t>Forex - Activo 0025 (PENDIENTE de vincular)</t>
  </si>
  <si>
    <t>F0025</t>
  </si>
  <si>
    <t>Forex - Activo 0026 (PENDIENTE de vincular)</t>
  </si>
  <si>
    <t>F0026</t>
  </si>
  <si>
    <t>Forex - Activo 0027 (PENDIENTE de vincular)</t>
  </si>
  <si>
    <t>F0027</t>
  </si>
  <si>
    <t>Forex - Activo 0028 (PENDIENTE de vincular)</t>
  </si>
  <si>
    <t>F0028</t>
  </si>
  <si>
    <t>Forex - Activo 0029 (PENDIENTE de vincular)</t>
  </si>
  <si>
    <t>F0029</t>
  </si>
  <si>
    <t>Forex - Activo 0030 (PENDIENTE de vincular)</t>
  </si>
  <si>
    <t>F0030</t>
  </si>
  <si>
    <t>Forex - Activo 0031 (PENDIENTE de vincular)</t>
  </si>
  <si>
    <t>F0031</t>
  </si>
  <si>
    <t>Forex - Activo 0032 (PENDIENTE de vincular)</t>
  </si>
  <si>
    <t>F0032</t>
  </si>
  <si>
    <t>Forex - Activo 0033 (PENDIENTE de vincular)</t>
  </si>
  <si>
    <t>F0033</t>
  </si>
  <si>
    <t>Forex - Activo 0034 (PENDIENTE de vincular)</t>
  </si>
  <si>
    <t>F0034</t>
  </si>
  <si>
    <t>Forex - Activo 0035 (PENDIENTE de vincular)</t>
  </si>
  <si>
    <t>F0035</t>
  </si>
  <si>
    <t>Forex - Activo 0036 (PENDIENTE de vincular)</t>
  </si>
  <si>
    <t>F0036</t>
  </si>
  <si>
    <t>Forex - Activo 0037 (PENDIENTE de vincular)</t>
  </si>
  <si>
    <t>F0037</t>
  </si>
  <si>
    <t>Forex - Activo 0038 (PENDIENTE de vincular)</t>
  </si>
  <si>
    <t>F0038</t>
  </si>
  <si>
    <t>Forex - Activo 0039 (PENDIENTE de vincular)</t>
  </si>
  <si>
    <t>F0039</t>
  </si>
  <si>
    <t>Forex - Activo 0040 (PENDIENTE de vincular)</t>
  </si>
  <si>
    <t>F0040</t>
  </si>
  <si>
    <t>Forex - Activo 0041 (PENDIENTE de vincular)</t>
  </si>
  <si>
    <t>F0041</t>
  </si>
  <si>
    <t>Forex - Activo 0042 (PENDIENTE de vincular)</t>
  </si>
  <si>
    <t>F0042</t>
  </si>
  <si>
    <t>Forex - Activo 0043 (PENDIENTE de vincular)</t>
  </si>
  <si>
    <t>F0043</t>
  </si>
  <si>
    <t>Forex - Activo 0044 (PENDIENTE de vincular)</t>
  </si>
  <si>
    <t>F0044</t>
  </si>
  <si>
    <t>Forex - Activo 0045 (PENDIENTE de vincular)</t>
  </si>
  <si>
    <t>F0045</t>
  </si>
  <si>
    <t>Forex - Activo 0046 (PENDIENTE de vincular)</t>
  </si>
  <si>
    <t>F0046</t>
  </si>
  <si>
    <t>Forex - Activo 0047 (PENDIENTE de vincular)</t>
  </si>
  <si>
    <t>F0047</t>
  </si>
  <si>
    <t>Forex - Activo 0048 (PENDIENTE de vincular)</t>
  </si>
  <si>
    <t>F0048</t>
  </si>
  <si>
    <t>Forex - Activo 0049 (PENDIENTE de vincular)</t>
  </si>
  <si>
    <t>F0049</t>
  </si>
  <si>
    <t>Forex - Activo 0050 (PENDIENTE de vincular)</t>
  </si>
  <si>
    <t>F0050</t>
  </si>
  <si>
    <t>Forex - Activo 0051 (PENDIENTE de vincular)</t>
  </si>
  <si>
    <t>F0051</t>
  </si>
  <si>
    <t>Forex - Activo 0052 (PENDIENTE de vincular)</t>
  </si>
  <si>
    <t>F0052</t>
  </si>
  <si>
    <t>Forex - Activo 0053 (PENDIENTE de vincular)</t>
  </si>
  <si>
    <t>F0053</t>
  </si>
  <si>
    <t>Forex - Activo 0054 (PENDIENTE de vincular)</t>
  </si>
  <si>
    <t>F0054</t>
  </si>
  <si>
    <t>Forex - Activo 0055 (PENDIENTE de vincular)</t>
  </si>
  <si>
    <t>F0055</t>
  </si>
  <si>
    <t>Forex - Activo 0056 (PENDIENTE de vincular)</t>
  </si>
  <si>
    <t>F0056</t>
  </si>
  <si>
    <t>Forex - Activo 0057 (PENDIENTE de vincular)</t>
  </si>
  <si>
    <t>F0057</t>
  </si>
  <si>
    <t>Forex - Activo 0058 (PENDIENTE de vincular)</t>
  </si>
  <si>
    <t>F0058</t>
  </si>
  <si>
    <t>Forex - Activo 0059 (PENDIENTE de vincular)</t>
  </si>
  <si>
    <t>F0059</t>
  </si>
  <si>
    <t>Forex - Activo 0060 (PENDIENTE de vincular)</t>
  </si>
  <si>
    <t>F0060</t>
  </si>
  <si>
    <t>Criptomonedas - Activo 0001 (PENDIENTE de vincular)</t>
  </si>
  <si>
    <t>C0001</t>
  </si>
  <si>
    <t>Criptomonedas - Activo 0002 (PENDIENTE de vincular)</t>
  </si>
  <si>
    <t>C0002</t>
  </si>
  <si>
    <t>Criptomonedas - Activo 0003 (PENDIENTE de vincular)</t>
  </si>
  <si>
    <t>C0003</t>
  </si>
  <si>
    <t>Criptomonedas - Activo 0004 (PENDIENTE de vincular)</t>
  </si>
  <si>
    <t>C0004</t>
  </si>
  <si>
    <t>Criptomonedas - Activo 0005 (PENDIENTE de vincular)</t>
  </si>
  <si>
    <t>C0005</t>
  </si>
  <si>
    <t>Criptomonedas - Activo 0006 (PENDIENTE de vincular)</t>
  </si>
  <si>
    <t>C0006</t>
  </si>
  <si>
    <t>Criptomonedas - Activo 0007 (PENDIENTE de vincular)</t>
  </si>
  <si>
    <t>C0007</t>
  </si>
  <si>
    <t>Criptomonedas - Activo 0008 (PENDIENTE de vincular)</t>
  </si>
  <si>
    <t>C0008</t>
  </si>
  <si>
    <t>Criptomonedas - Activo 0009 (PENDIENTE de vincular)</t>
  </si>
  <si>
    <t>C0009</t>
  </si>
  <si>
    <t>Criptomonedas - Activo 0010 (PENDIENTE de vincular)</t>
  </si>
  <si>
    <t>C0010</t>
  </si>
  <si>
    <t>Criptomonedas - Activo 0011 (PENDIENTE de vincular)</t>
  </si>
  <si>
    <t>C0011</t>
  </si>
  <si>
    <t>Criptomonedas - Activo 0012 (PENDIENTE de vincular)</t>
  </si>
  <si>
    <t>C0012</t>
  </si>
  <si>
    <t>Criptomonedas - Activo 0013 (PENDIENTE de vincular)</t>
  </si>
  <si>
    <t>C0013</t>
  </si>
  <si>
    <t>Criptomonedas - Activo 0014 (PENDIENTE de vincular)</t>
  </si>
  <si>
    <t>C0014</t>
  </si>
  <si>
    <t>Criptomonedas - Activo 0015 (PENDIENTE de vincular)</t>
  </si>
  <si>
    <t>C0015</t>
  </si>
  <si>
    <t>Criptomonedas - Activo 0016 (PENDIENTE de vincular)</t>
  </si>
  <si>
    <t>C0016</t>
  </si>
  <si>
    <t>Criptomonedas - Activo 0017 (PENDIENTE de vincular)</t>
  </si>
  <si>
    <t>C0017</t>
  </si>
  <si>
    <t>Criptomonedas - Activo 0018 (PENDIENTE de vincular)</t>
  </si>
  <si>
    <t>C0018</t>
  </si>
  <si>
    <t>Criptomonedas - Activo 0019 (PENDIENTE de vincular)</t>
  </si>
  <si>
    <t>C0019</t>
  </si>
  <si>
    <t>Criptomonedas - Activo 0020 (PENDIENTE de vincular)</t>
  </si>
  <si>
    <t>C0020</t>
  </si>
  <si>
    <t>Criptomonedas - Activo 0021 (PENDIENTE de vincular)</t>
  </si>
  <si>
    <t>C0021</t>
  </si>
  <si>
    <t>Criptomonedas - Activo 0022 (PENDIENTE de vincular)</t>
  </si>
  <si>
    <t>C0022</t>
  </si>
  <si>
    <t>Criptomonedas - Activo 0023 (PENDIENTE de vincular)</t>
  </si>
  <si>
    <t>C0023</t>
  </si>
  <si>
    <t>Criptomonedas - Activo 0024 (PENDIENTE de vincular)</t>
  </si>
  <si>
    <t>C0024</t>
  </si>
  <si>
    <t>Criptomonedas - Activo 0025 (PENDIENTE de vincular)</t>
  </si>
  <si>
    <t>C0025</t>
  </si>
  <si>
    <t>Criptomonedas - Activo 0026 (PENDIENTE de vincular)</t>
  </si>
  <si>
    <t>C0026</t>
  </si>
  <si>
    <t>Criptomonedas - Activo 0027 (PENDIENTE de vincular)</t>
  </si>
  <si>
    <t>C0027</t>
  </si>
  <si>
    <t>Criptomonedas - Activo 0028 (PENDIENTE de vincular)</t>
  </si>
  <si>
    <t>C0028</t>
  </si>
  <si>
    <t>Criptomonedas - Activo 0029 (PENDIENTE de vincular)</t>
  </si>
  <si>
    <t>C0029</t>
  </si>
  <si>
    <t>Criptomonedas - Activo 0030 (PENDIENTE de vincular)</t>
  </si>
  <si>
    <t>C0030</t>
  </si>
  <si>
    <t>Criptomonedas - Activo 0031 (PENDIENTE de vincular)</t>
  </si>
  <si>
    <t>C0031</t>
  </si>
  <si>
    <t>Criptomonedas - Activo 0032 (PENDIENTE de vincular)</t>
  </si>
  <si>
    <t>C0032</t>
  </si>
  <si>
    <t>Criptomonedas - Activo 0033 (PENDIENTE de vincular)</t>
  </si>
  <si>
    <t>C0033</t>
  </si>
  <si>
    <t>Criptomonedas - Activo 0034 (PENDIENTE de vincular)</t>
  </si>
  <si>
    <t>C0034</t>
  </si>
  <si>
    <t>Criptomonedas - Activo 0035 (PENDIENTE de vincular)</t>
  </si>
  <si>
    <t>C0035</t>
  </si>
  <si>
    <t>Criptomonedas - Activo 0036 (PENDIENTE de vincular)</t>
  </si>
  <si>
    <t>C0036</t>
  </si>
  <si>
    <t>Criptomonedas - Activo 0037 (PENDIENTE de vincular)</t>
  </si>
  <si>
    <t>C0037</t>
  </si>
  <si>
    <t>Criptomonedas - Activo 0038 (PENDIENTE de vincular)</t>
  </si>
  <si>
    <t>C0038</t>
  </si>
  <si>
    <t>Criptomonedas - Activo 0039 (PENDIENTE de vincular)</t>
  </si>
  <si>
    <t>C0039</t>
  </si>
  <si>
    <t>Criptomonedas - Activo 0040 (PENDIENTE de vincular)</t>
  </si>
  <si>
    <t>C0040</t>
  </si>
  <si>
    <t>Criptomonedas - Activo 0041 (PENDIENTE de vincular)</t>
  </si>
  <si>
    <t>C0041</t>
  </si>
  <si>
    <t>Criptomonedas - Activo 0042 (PENDIENTE de vincular)</t>
  </si>
  <si>
    <t>C0042</t>
  </si>
  <si>
    <t>Criptomonedas - Activo 0043 (PENDIENTE de vincular)</t>
  </si>
  <si>
    <t>C0043</t>
  </si>
  <si>
    <t>Criptomonedas - Activo 0044 (PENDIENTE de vincular)</t>
  </si>
  <si>
    <t>C0044</t>
  </si>
  <si>
    <t>Criptomonedas - Activo 0045 (PENDIENTE de vincular)</t>
  </si>
  <si>
    <t>C0045</t>
  </si>
  <si>
    <t>Criptomonedas - Activo 0046 (PENDIENTE de vincular)</t>
  </si>
  <si>
    <t>C0046</t>
  </si>
  <si>
    <t>Criptomonedas - Activo 0047 (PENDIENTE de vincular)</t>
  </si>
  <si>
    <t>C0047</t>
  </si>
  <si>
    <t>Criptomonedas - Activo 0048 (PENDIENTE de vincular)</t>
  </si>
  <si>
    <t>C0048</t>
  </si>
  <si>
    <t>Criptomonedas - Activo 0049 (PENDIENTE de vincular)</t>
  </si>
  <si>
    <t>C0049</t>
  </si>
  <si>
    <t>Criptomonedas - Activo 0050 (PENDIENTE de vincular)</t>
  </si>
  <si>
    <t>C0050</t>
  </si>
  <si>
    <t>Criptomonedas - Activo 0051 (PENDIENTE de vincular)</t>
  </si>
  <si>
    <t>C0051</t>
  </si>
  <si>
    <t>Criptomonedas - Activo 0052 (PENDIENTE de vincular)</t>
  </si>
  <si>
    <t>C0052</t>
  </si>
  <si>
    <t>Criptomonedas - Activo 0053 (PENDIENTE de vincular)</t>
  </si>
  <si>
    <t>C0053</t>
  </si>
  <si>
    <t>Criptomonedas - Activo 0054 (PENDIENTE de vincular)</t>
  </si>
  <si>
    <t>C0054</t>
  </si>
  <si>
    <t>Criptomonedas - Activo 0055 (PENDIENTE de vincular)</t>
  </si>
  <si>
    <t>C0055</t>
  </si>
  <si>
    <t>Criptomonedas - Activo 0056 (PENDIENTE de vincular)</t>
  </si>
  <si>
    <t>C0056</t>
  </si>
  <si>
    <t>Criptomonedas - Activo 0057 (PENDIENTE de vincular)</t>
  </si>
  <si>
    <t>C0057</t>
  </si>
  <si>
    <t>Criptomonedas - Activo 0058 (PENDIENTE de vincular)</t>
  </si>
  <si>
    <t>C0058</t>
  </si>
  <si>
    <t>Criptomonedas - Activo 0059 (PENDIENTE de vincular)</t>
  </si>
  <si>
    <t>C0059</t>
  </si>
  <si>
    <t>Criptomonedas - Activo 0060 (PENDIENTE de vincular)</t>
  </si>
  <si>
    <t>C0060</t>
  </si>
  <si>
    <t>Criptomonedas - Activo 0061 (PENDIENTE de vincular)</t>
  </si>
  <si>
    <t>C0061</t>
  </si>
  <si>
    <t>Criptomonedas - Activo 0062 (PENDIENTE de vincular)</t>
  </si>
  <si>
    <t>C0062</t>
  </si>
  <si>
    <t>Criptomonedas - Activo 0063 (PENDIENTE de vincular)</t>
  </si>
  <si>
    <t>C0063</t>
  </si>
  <si>
    <t>Criptomonedas - Activo 0064 (PENDIENTE de vincular)</t>
  </si>
  <si>
    <t>C0064</t>
  </si>
  <si>
    <t>Criptomonedas - Activo 0065 (PENDIENTE de vincular)</t>
  </si>
  <si>
    <t>C0065</t>
  </si>
  <si>
    <t>Criptomonedas - Activo 0066 (PENDIENTE de vincular)</t>
  </si>
  <si>
    <t>C0066</t>
  </si>
  <si>
    <t>Criptomonedas - Activo 0067 (PENDIENTE de vincular)</t>
  </si>
  <si>
    <t>C0067</t>
  </si>
  <si>
    <t>Criptomonedas - Activo 0068 (PENDIENTE de vincular)</t>
  </si>
  <si>
    <t>C0068</t>
  </si>
  <si>
    <t>Criptomonedas - Activo 0069 (PENDIENTE de vincular)</t>
  </si>
  <si>
    <t>C0069</t>
  </si>
  <si>
    <t>Criptomonedas - Activo 0070 (PENDIENTE de vincular)</t>
  </si>
  <si>
    <t>C0070</t>
  </si>
  <si>
    <t>Criptomonedas - Activo 0071 (PENDIENTE de vincular)</t>
  </si>
  <si>
    <t>C0071</t>
  </si>
  <si>
    <t>Criptomonedas - Activo 0072 (PENDIENTE de vincular)</t>
  </si>
  <si>
    <t>C0072</t>
  </si>
  <si>
    <t>Criptomonedas - Activo 0073 (PENDIENTE de vincular)</t>
  </si>
  <si>
    <t>C0073</t>
  </si>
  <si>
    <t>Criptomonedas - Activo 0074 (PENDIENTE de vincular)</t>
  </si>
  <si>
    <t>C0074</t>
  </si>
  <si>
    <t>Criptomonedas - Activo 0075 (PENDIENTE de vincular)</t>
  </si>
  <si>
    <t>C0075</t>
  </si>
  <si>
    <t>Criptomonedas - Activo 0076 (PENDIENTE de vincular)</t>
  </si>
  <si>
    <t>C0076</t>
  </si>
  <si>
    <t>Criptomonedas - Activo 0077 (PENDIENTE de vincular)</t>
  </si>
  <si>
    <t>C0077</t>
  </si>
  <si>
    <t>Criptomonedas - Activo 0078 (PENDIENTE de vincular)</t>
  </si>
  <si>
    <t>C0078</t>
  </si>
  <si>
    <t>Criptomonedas - Activo 0079 (PENDIENTE de vincular)</t>
  </si>
  <si>
    <t>C0079</t>
  </si>
  <si>
    <t>Criptomonedas - Activo 0080 (PENDIENTE de vincular)</t>
  </si>
  <si>
    <t>C0080</t>
  </si>
  <si>
    <t>NYSE Arca/XETRA</t>
  </si>
  <si>
    <t>ETF - Activo 0001 (PENDIENTE de vincular)</t>
  </si>
  <si>
    <t>E0001</t>
  </si>
  <si>
    <t>ETF - Activo 0002 (PENDIENTE de vincular)</t>
  </si>
  <si>
    <t>E0002</t>
  </si>
  <si>
    <t>ETF - Activo 0003 (PENDIENTE de vincular)</t>
  </si>
  <si>
    <t>E0003</t>
  </si>
  <si>
    <t>ETF - Activo 0004 (PENDIENTE de vincular)</t>
  </si>
  <si>
    <t>E0004</t>
  </si>
  <si>
    <t>ETF - Activo 0005 (PENDIENTE de vincular)</t>
  </si>
  <si>
    <t>E0005</t>
  </si>
  <si>
    <t>ETF - Activo 0006 (PENDIENTE de vincular)</t>
  </si>
  <si>
    <t>E0006</t>
  </si>
  <si>
    <t>ETF - Activo 0007 (PENDIENTE de vincular)</t>
  </si>
  <si>
    <t>E0007</t>
  </si>
  <si>
    <t>ETF - Activo 0008 (PENDIENTE de vincular)</t>
  </si>
  <si>
    <t>E0008</t>
  </si>
  <si>
    <t>ETF - Activo 0009 (PENDIENTE de vincular)</t>
  </si>
  <si>
    <t>E0009</t>
  </si>
  <si>
    <t>ETF - Activo 0010 (PENDIENTE de vincular)</t>
  </si>
  <si>
    <t>E0010</t>
  </si>
  <si>
    <t>ETF - Activo 0011 (PENDIENTE de vincular)</t>
  </si>
  <si>
    <t>E0011</t>
  </si>
  <si>
    <t>ETF - Activo 0012 (PENDIENTE de vincular)</t>
  </si>
  <si>
    <t>E0012</t>
  </si>
  <si>
    <t>ETF - Activo 0013 (PENDIENTE de vincular)</t>
  </si>
  <si>
    <t>E0013</t>
  </si>
  <si>
    <t>ETF - Activo 0014 (PENDIENTE de vincular)</t>
  </si>
  <si>
    <t>E0014</t>
  </si>
  <si>
    <t>ETF - Activo 0015 (PENDIENTE de vincular)</t>
  </si>
  <si>
    <t>E0015</t>
  </si>
  <si>
    <t>ETF - Activo 0016 (PENDIENTE de vincular)</t>
  </si>
  <si>
    <t>E0016</t>
  </si>
  <si>
    <t>ETF - Activo 0017 (PENDIENTE de vincular)</t>
  </si>
  <si>
    <t>E0017</t>
  </si>
  <si>
    <t>ETF - Activo 0018 (PENDIENTE de vincular)</t>
  </si>
  <si>
    <t>E0018</t>
  </si>
  <si>
    <t>ETF - Activo 0019 (PENDIENTE de vincular)</t>
  </si>
  <si>
    <t>E0019</t>
  </si>
  <si>
    <t>ETF - Activo 0020 (PENDIENTE de vincular)</t>
  </si>
  <si>
    <t>E0020</t>
  </si>
  <si>
    <t>ETF - Activo 0021 (PENDIENTE de vincular)</t>
  </si>
  <si>
    <t>E0021</t>
  </si>
  <si>
    <t>ETF - Activo 0022 (PENDIENTE de vincular)</t>
  </si>
  <si>
    <t>E0022</t>
  </si>
  <si>
    <t>ETF - Activo 0023 (PENDIENTE de vincular)</t>
  </si>
  <si>
    <t>E0023</t>
  </si>
  <si>
    <t>ETF - Activo 0024 (PENDIENTE de vincular)</t>
  </si>
  <si>
    <t>E0024</t>
  </si>
  <si>
    <t>ETF - Activo 0025 (PENDIENTE de vincular)</t>
  </si>
  <si>
    <t>E0025</t>
  </si>
  <si>
    <t>ETF - Activo 0026 (PENDIENTE de vincular)</t>
  </si>
  <si>
    <t>E0026</t>
  </si>
  <si>
    <t>ETF - Activo 0027 (PENDIENTE de vincular)</t>
  </si>
  <si>
    <t>E0027</t>
  </si>
  <si>
    <t>ETF - Activo 0028 (PENDIENTE de vincular)</t>
  </si>
  <si>
    <t>E0028</t>
  </si>
  <si>
    <t>ETF - Activo 0029 (PENDIENTE de vincular)</t>
  </si>
  <si>
    <t>E0029</t>
  </si>
  <si>
    <t>ETF - Activo 0030 (PENDIENTE de vincular)</t>
  </si>
  <si>
    <t>E0030</t>
  </si>
  <si>
    <t>ETF - Activo 0031 (PENDIENTE de vincular)</t>
  </si>
  <si>
    <t>E0031</t>
  </si>
  <si>
    <t>ETF - Activo 0032 (PENDIENTE de vincular)</t>
  </si>
  <si>
    <t>E0032</t>
  </si>
  <si>
    <t>ETF - Activo 0033 (PENDIENTE de vincular)</t>
  </si>
  <si>
    <t>E0033</t>
  </si>
  <si>
    <t>ETF - Activo 0034 (PENDIENTE de vincular)</t>
  </si>
  <si>
    <t>E0034</t>
  </si>
  <si>
    <t>ETF - Activo 0035 (PENDIENTE de vincular)</t>
  </si>
  <si>
    <t>E0035</t>
  </si>
  <si>
    <t>ETF - Activo 0036 (PENDIENTE de vincular)</t>
  </si>
  <si>
    <t>E0036</t>
  </si>
  <si>
    <t>ETF - Activo 0037 (PENDIENTE de vincular)</t>
  </si>
  <si>
    <t>E0037</t>
  </si>
  <si>
    <t>ETF - Activo 0038 (PENDIENTE de vincular)</t>
  </si>
  <si>
    <t>E0038</t>
  </si>
  <si>
    <t>ETF - Activo 0039 (PENDIENTE de vincular)</t>
  </si>
  <si>
    <t>E0039</t>
  </si>
  <si>
    <t>ETF - Activo 0040 (PENDIENTE de vincular)</t>
  </si>
  <si>
    <t>E0040</t>
  </si>
  <si>
    <t>ETF - Activo 0041 (PENDIENTE de vincular)</t>
  </si>
  <si>
    <t>E0041</t>
  </si>
  <si>
    <t>ETF - Activo 0042 (PENDIENTE de vincular)</t>
  </si>
  <si>
    <t>E0042</t>
  </si>
  <si>
    <t>ETF - Activo 0043 (PENDIENTE de vincular)</t>
  </si>
  <si>
    <t>E0043</t>
  </si>
  <si>
    <t>ETF - Activo 0044 (PENDIENTE de vincular)</t>
  </si>
  <si>
    <t>E0044</t>
  </si>
  <si>
    <t>ETF - Activo 0045 (PENDIENTE de vincular)</t>
  </si>
  <si>
    <t>E0045</t>
  </si>
  <si>
    <t>ETF - Activo 0046 (PENDIENTE de vincular)</t>
  </si>
  <si>
    <t>E0046</t>
  </si>
  <si>
    <t>ETF - Activo 0047 (PENDIENTE de vincular)</t>
  </si>
  <si>
    <t>E0047</t>
  </si>
  <si>
    <t>ETF - Activo 0048 (PENDIENTE de vincular)</t>
  </si>
  <si>
    <t>E0048</t>
  </si>
  <si>
    <t>ETF - Activo 0049 (PENDIENTE de vincular)</t>
  </si>
  <si>
    <t>E0049</t>
  </si>
  <si>
    <t>ETF - Activo 0050 (PENDIENTE de vincular)</t>
  </si>
  <si>
    <t>E0050</t>
  </si>
  <si>
    <t>ETF - Activo 0051 (PENDIENTE de vincular)</t>
  </si>
  <si>
    <t>E0051</t>
  </si>
  <si>
    <t>ETF - Activo 0052 (PENDIENTE de vincular)</t>
  </si>
  <si>
    <t>E0052</t>
  </si>
  <si>
    <t>ETF - Activo 0053 (PENDIENTE de vincular)</t>
  </si>
  <si>
    <t>E0053</t>
  </si>
  <si>
    <t>ETF - Activo 0054 (PENDIENTE de vincular)</t>
  </si>
  <si>
    <t>E0054</t>
  </si>
  <si>
    <t>ETF - Activo 0055 (PENDIENTE de vincular)</t>
  </si>
  <si>
    <t>E0055</t>
  </si>
  <si>
    <t>ETF - Activo 0056 (PENDIENTE de vincular)</t>
  </si>
  <si>
    <t>E0056</t>
  </si>
  <si>
    <t>ETF - Activo 0057 (PENDIENTE de vincular)</t>
  </si>
  <si>
    <t>E0057</t>
  </si>
  <si>
    <t>ETF - Activo 0058 (PENDIENTE de vincular)</t>
  </si>
  <si>
    <t>E0058</t>
  </si>
  <si>
    <t>ETF - Activo 0059 (PENDIENTE de vincular)</t>
  </si>
  <si>
    <t>E0059</t>
  </si>
  <si>
    <t>ETF - Activo 0060 (PENDIENTE de vincular)</t>
  </si>
  <si>
    <t>E0060</t>
  </si>
  <si>
    <t>ETF - Activo 0061 (PENDIENTE de vincular)</t>
  </si>
  <si>
    <t>E0061</t>
  </si>
  <si>
    <t>ETF - Activo 0062 (PENDIENTE de vincular)</t>
  </si>
  <si>
    <t>E0062</t>
  </si>
  <si>
    <t>ETF - Activo 0063 (PENDIENTE de vincular)</t>
  </si>
  <si>
    <t>E0063</t>
  </si>
  <si>
    <t>ETF - Activo 0064 (PENDIENTE de vincular)</t>
  </si>
  <si>
    <t>E0064</t>
  </si>
  <si>
    <t>ETF - Activo 0065 (PENDIENTE de vincular)</t>
  </si>
  <si>
    <t>E0065</t>
  </si>
  <si>
    <t>ETF - Activo 0066 (PENDIENTE de vincular)</t>
  </si>
  <si>
    <t>E0066</t>
  </si>
  <si>
    <t>ETF - Activo 0067 (PENDIENTE de vincular)</t>
  </si>
  <si>
    <t>E0067</t>
  </si>
  <si>
    <t>ETF - Activo 0068 (PENDIENTE de vincular)</t>
  </si>
  <si>
    <t>E0068</t>
  </si>
  <si>
    <t>ETF - Activo 0069 (PENDIENTE de vincular)</t>
  </si>
  <si>
    <t>E0069</t>
  </si>
  <si>
    <t>ETF - Activo 0070 (PENDIENTE de vincular)</t>
  </si>
  <si>
    <t>E0070</t>
  </si>
  <si>
    <t>ETF - Activo 0071 (PENDIENTE de vincular)</t>
  </si>
  <si>
    <t>E0071</t>
  </si>
  <si>
    <t>ETF - Activo 0072 (PENDIENTE de vincular)</t>
  </si>
  <si>
    <t>E0072</t>
  </si>
  <si>
    <t>ETF - Activo 0073 (PENDIENTE de vincular)</t>
  </si>
  <si>
    <t>E0073</t>
  </si>
  <si>
    <t>ETF - Activo 0074 (PENDIENTE de vincular)</t>
  </si>
  <si>
    <t>E0074</t>
  </si>
  <si>
    <t>ETF - Activo 0075 (PENDIENTE de vincular)</t>
  </si>
  <si>
    <t>E0075</t>
  </si>
  <si>
    <t>ETF - Activo 0076 (PENDIENTE de vincular)</t>
  </si>
  <si>
    <t>E0076</t>
  </si>
  <si>
    <t>ETF - Activo 0077 (PENDIENTE de vincular)</t>
  </si>
  <si>
    <t>E0077</t>
  </si>
  <si>
    <t>ETF - Activo 0078 (PENDIENTE de vincular)</t>
  </si>
  <si>
    <t>E0078</t>
  </si>
  <si>
    <t>ETF - Activo 0079 (PENDIENTE de vincular)</t>
  </si>
  <si>
    <t>E0079</t>
  </si>
  <si>
    <t>ETF - Activo 0080 (PENDIENTE de vincular)</t>
  </si>
  <si>
    <t>E0080</t>
  </si>
  <si>
    <t>ETF - Activo 0081 (PENDIENTE de vincular)</t>
  </si>
  <si>
    <t>E0081</t>
  </si>
  <si>
    <t>ETF - Activo 0082 (PENDIENTE de vincular)</t>
  </si>
  <si>
    <t>E0082</t>
  </si>
  <si>
    <t>ETF - Activo 0083 (PENDIENTE de vincular)</t>
  </si>
  <si>
    <t>E0083</t>
  </si>
  <si>
    <t>ETF - Activo 0084 (PENDIENTE de vincular)</t>
  </si>
  <si>
    <t>E0084</t>
  </si>
  <si>
    <t>ETF - Activo 0085 (PENDIENTE de vincular)</t>
  </si>
  <si>
    <t>E0085</t>
  </si>
  <si>
    <t>ETF - Activo 0086 (PENDIENTE de vincular)</t>
  </si>
  <si>
    <t>E0086</t>
  </si>
  <si>
    <t>ETF - Activo 0087 (PENDIENTE de vincular)</t>
  </si>
  <si>
    <t>E0087</t>
  </si>
  <si>
    <t>ETF - Activo 0088 (PENDIENTE de vincular)</t>
  </si>
  <si>
    <t>E0088</t>
  </si>
  <si>
    <t>ETF - Activo 0089 (PENDIENTE de vincular)</t>
  </si>
  <si>
    <t>E0089</t>
  </si>
  <si>
    <t>ETF - Activo 0090 (PENDIENTE de vincular)</t>
  </si>
  <si>
    <t>E0090</t>
  </si>
  <si>
    <t>ETF - Activo 0091 (PENDIENTE de vincular)</t>
  </si>
  <si>
    <t>E0091</t>
  </si>
  <si>
    <t>ETF - Activo 0092 (PENDIENTE de vincular)</t>
  </si>
  <si>
    <t>E0092</t>
  </si>
  <si>
    <t>ETF - Activo 0093 (PENDIENTE de vincular)</t>
  </si>
  <si>
    <t>E0093</t>
  </si>
  <si>
    <t>ETF - Activo 0094 (PENDIENTE de vincular)</t>
  </si>
  <si>
    <t>E0094</t>
  </si>
  <si>
    <t>ETF - Activo 0095 (PENDIENTE de vincular)</t>
  </si>
  <si>
    <t>E0095</t>
  </si>
  <si>
    <t>ETF - Activo 0096 (PENDIENTE de vincular)</t>
  </si>
  <si>
    <t>E0096</t>
  </si>
  <si>
    <t>ETF - Activo 0097 (PENDIENTE de vincular)</t>
  </si>
  <si>
    <t>E0097</t>
  </si>
  <si>
    <t>ETF - Activo 0098 (PENDIENTE de vincular)</t>
  </si>
  <si>
    <t>E0098</t>
  </si>
  <si>
    <t>ETF - Activo 0099 (PENDIENTE de vincular)</t>
  </si>
  <si>
    <t>E0099</t>
  </si>
  <si>
    <t>ETF - Activo 0100 (PENDIENTE de vincular)</t>
  </si>
  <si>
    <t>E0100</t>
  </si>
  <si>
    <t>COMEX/LME</t>
  </si>
  <si>
    <t>Metales - Activo 0001 (PENDIENTE de vincular)</t>
  </si>
  <si>
    <t>M0001</t>
  </si>
  <si>
    <t>Metales - Activo 0002 (PENDIENTE de vincular)</t>
  </si>
  <si>
    <t>M0002</t>
  </si>
  <si>
    <t>Metales - Activo 0003 (PENDIENTE de vincular)</t>
  </si>
  <si>
    <t>M0003</t>
  </si>
  <si>
    <t>Metales - Activo 0004 (PENDIENTE de vincular)</t>
  </si>
  <si>
    <t>M0004</t>
  </si>
  <si>
    <t>Metales - Activo 0005 (PENDIENTE de vincular)</t>
  </si>
  <si>
    <t>M0005</t>
  </si>
  <si>
    <t>Metales - Activo 0006 (PENDIENTE de vincular)</t>
  </si>
  <si>
    <t>M0006</t>
  </si>
  <si>
    <t>Metales - Activo 0007 (PENDIENTE de vincular)</t>
  </si>
  <si>
    <t>M0007</t>
  </si>
  <si>
    <t>Metales - Activo 0008 (PENDIENTE de vincular)</t>
  </si>
  <si>
    <t>M0008</t>
  </si>
  <si>
    <t>Metales - Activo 0009 (PENDIENTE de vincular)</t>
  </si>
  <si>
    <t>M0009</t>
  </si>
  <si>
    <t>Metales - Activo 0010 (PENDIENTE de vincular)</t>
  </si>
  <si>
    <t>M0010</t>
  </si>
  <si>
    <t>Metales - Activo 0011 (PENDIENTE de vincular)</t>
  </si>
  <si>
    <t>M0011</t>
  </si>
  <si>
    <t>Metales - Activo 0012 (PENDIENTE de vincular)</t>
  </si>
  <si>
    <t>M0012</t>
  </si>
  <si>
    <t>Metales - Activo 0013 (PENDIENTE de vincular)</t>
  </si>
  <si>
    <t>M0013</t>
  </si>
  <si>
    <t>Metales - Activo 0014 (PENDIENTE de vincular)</t>
  </si>
  <si>
    <t>M0014</t>
  </si>
  <si>
    <t>Metales - Activo 0015 (PENDIENTE de vincular)</t>
  </si>
  <si>
    <t>M0015</t>
  </si>
  <si>
    <t>Metales - Activo 0016 (PENDIENTE de vincular)</t>
  </si>
  <si>
    <t>M0016</t>
  </si>
  <si>
    <t>Metales - Activo 0017 (PENDIENTE de vincular)</t>
  </si>
  <si>
    <t>M0017</t>
  </si>
  <si>
    <t>Metales - Activo 0018 (PENDIENTE de vincular)</t>
  </si>
  <si>
    <t>M0018</t>
  </si>
  <si>
    <t>Metales - Activo 0019 (PENDIENTE de vincular)</t>
  </si>
  <si>
    <t>M0019</t>
  </si>
  <si>
    <t>Metales - Activo 0020 (PENDIENTE de vincular)</t>
  </si>
  <si>
    <t>M0020</t>
  </si>
  <si>
    <t>NYMEX/ICE</t>
  </si>
  <si>
    <t>Energia - Activo 0001 (PENDIENTE de vincular)</t>
  </si>
  <si>
    <t>Energia - Activo 0002 (PENDIENTE de vincular)</t>
  </si>
  <si>
    <t>Energia - Activo 0003 (PENDIENTE de vincular)</t>
  </si>
  <si>
    <t>Energia - Activo 0004 (PENDIENTE de vincular)</t>
  </si>
  <si>
    <t>Energia - Activo 0005 (PENDIENTE de vincular)</t>
  </si>
  <si>
    <t>Energia - Activo 0006 (PENDIENTE de vincular)</t>
  </si>
  <si>
    <t>Energia - Activo 0007 (PENDIENTE de vincular)</t>
  </si>
  <si>
    <t>Energia - Activo 0008 (PENDIENTE de vincular)</t>
  </si>
  <si>
    <t>Energia - Activo 0009 (PENDIENTE de vincular)</t>
  </si>
  <si>
    <t>Energia - Activo 0010 (PENDIENTE de vincular)</t>
  </si>
  <si>
    <t>Energia - Activo 0011 (PENDIENTE de vincular)</t>
  </si>
  <si>
    <t>Energia - Activo 0012 (PENDIENTE de vincular)</t>
  </si>
  <si>
    <t>Energia - Activo 0013 (PENDIENTE de vincular)</t>
  </si>
  <si>
    <t>Energia - Activo 0014 (PENDIENTE de vincular)</t>
  </si>
  <si>
    <t>Energia - Activo 0015 (PENDIENTE de vincular)</t>
  </si>
  <si>
    <t>Energia - Activo 0016 (PENDIENTE de vincular)</t>
  </si>
  <si>
    <t>Energia - Activo 0017 (PENDIENTE de vincular)</t>
  </si>
  <si>
    <t>Energia - Activo 0018 (PENDIENTE de vincular)</t>
  </si>
  <si>
    <t>Energia - Activo 0019 (PENDIENTE de vincular)</t>
  </si>
  <si>
    <t>Energia - Activo 0020 (PENDIENTE de vincular)</t>
  </si>
  <si>
    <t>Energia - Activo 0021 (PENDIENTE de vincular)</t>
  </si>
  <si>
    <t>Energia - Activo 0022 (PENDIENTE de vincular)</t>
  </si>
  <si>
    <t>Energia - Activo 0023 (PENDIENTE de vincular)</t>
  </si>
  <si>
    <t>Energia - Activo 0024 (PENDIENTE de vincular)</t>
  </si>
  <si>
    <t>Energia - Activo 0025 (PENDIENTE de vincular)</t>
  </si>
  <si>
    <t>Energia - Activo 0026 (PENDIENTE de vincular)</t>
  </si>
  <si>
    <t>Energia - Activo 0027 (PENDIENTE de vincular)</t>
  </si>
  <si>
    <t>Energia - Activo 0028 (PENDIENTE de vincular)</t>
  </si>
  <si>
    <t>Energia - Activo 0029 (PENDIENTE de vincular)</t>
  </si>
  <si>
    <t>Energia - Activo 0030 (PENDIENTE de vincular)</t>
  </si>
  <si>
    <t>Petroleo - Activo 0001 (PENDIENTE de vincular)</t>
  </si>
  <si>
    <t>P0001</t>
  </si>
  <si>
    <t>Petroleo - Activo 0002 (PENDIENTE de vincular)</t>
  </si>
  <si>
    <t>P0002</t>
  </si>
  <si>
    <t>Petroleo - Activo 0003 (PENDIENTE de vincular)</t>
  </si>
  <si>
    <t>P0003</t>
  </si>
  <si>
    <t>Petroleo - Activo 0004 (PENDIENTE de vincular)</t>
  </si>
  <si>
    <t>P0004</t>
  </si>
  <si>
    <t>Petroleo - Activo 0005 (PENDIENTE de vincular)</t>
  </si>
  <si>
    <t>P0005</t>
  </si>
  <si>
    <t>Petroleo - Activo 0006 (PENDIENTE de vincular)</t>
  </si>
  <si>
    <t>P0006</t>
  </si>
  <si>
    <t>Petroleo - Activo 0007 (PENDIENTE de vincular)</t>
  </si>
  <si>
    <t>P0007</t>
  </si>
  <si>
    <t>Petroleo - Activo 0008 (PENDIENTE de vincular)</t>
  </si>
  <si>
    <t>P0008</t>
  </si>
  <si>
    <t>Petroleo - Activo 0009 (PENDIENTE de vincular)</t>
  </si>
  <si>
    <t>P0009</t>
  </si>
  <si>
    <t>Petroleo - Activo 0010 (PENDIENTE de vincular)</t>
  </si>
  <si>
    <t>P0010</t>
  </si>
  <si>
    <t>Petroleo - Activo 0011 (PENDIENTE de vincular)</t>
  </si>
  <si>
    <t>P0011</t>
  </si>
  <si>
    <t>Petroleo - Activo 0012 (PENDIENTE de vincular)</t>
  </si>
  <si>
    <t>P0012</t>
  </si>
  <si>
    <t>Petroleo - Activo 0013 (PENDIENTE de vincular)</t>
  </si>
  <si>
    <t>P0013</t>
  </si>
  <si>
    <t>Petroleo - Activo 0014 (PENDIENTE de vincular)</t>
  </si>
  <si>
    <t>P0014</t>
  </si>
  <si>
    <t>Petroleo - Activo 0015 (PENDIENTE de vincular)</t>
  </si>
  <si>
    <t>P0015</t>
  </si>
  <si>
    <t>Petroleo - Activo 0016 (PENDIENTE de vincular)</t>
  </si>
  <si>
    <t>P0016</t>
  </si>
  <si>
    <t>Petroleo - Activo 0017 (PENDIENTE de vincular)</t>
  </si>
  <si>
    <t>P0017</t>
  </si>
  <si>
    <t>Petroleo - Activo 0018 (PENDIENTE de vincular)</t>
  </si>
  <si>
    <t>P0018</t>
  </si>
  <si>
    <t>Petroleo - Activo 0019 (PENDIENTE de vincular)</t>
  </si>
  <si>
    <t>P0019</t>
  </si>
  <si>
    <t>Petroleo - Activo 0020 (PENDIENTE de vincular)</t>
  </si>
  <si>
    <t>P0020</t>
  </si>
  <si>
    <t>Cafe - Activo 0001 (PENDIENTE de vincular)</t>
  </si>
  <si>
    <t>Cafe - Activo 0002 (PENDIENTE de vincular)</t>
  </si>
  <si>
    <t>Cafe - Activo 0003 (PENDIENTE de vincular)</t>
  </si>
  <si>
    <t>Cafe - Activo 0004 (PENDIENTE de vincular)</t>
  </si>
  <si>
    <t>Cafe - Activo 0005 (PENDIENTE de vincular)</t>
  </si>
  <si>
    <t>Cafe - Activo 0006 (PENDIENTE de vincular)</t>
  </si>
  <si>
    <t>Cafe - Activo 0007 (PENDIENTE de vincular)</t>
  </si>
  <si>
    <t>Cafe - Activo 0008 (PENDIENTE de vincular)</t>
  </si>
  <si>
    <t>Cafe - Activo 0009 (PENDIENTE de vincular)</t>
  </si>
  <si>
    <t>Cafe - Activo 0010 (PENDIENTE de vincular)</t>
  </si>
  <si>
    <t>CBOT/ICE</t>
  </si>
  <si>
    <t>Otros commodities - Activo 0001 (PENDIENTE de vincular)</t>
  </si>
  <si>
    <t>OC0001</t>
  </si>
  <si>
    <t>Otros commodities - Activo 0002 (PENDIENTE de vincular)</t>
  </si>
  <si>
    <t>OC0002</t>
  </si>
  <si>
    <t>Otros commodities - Activo 0003 (PENDIENTE de vincular)</t>
  </si>
  <si>
    <t>OC0003</t>
  </si>
  <si>
    <t>Otros commodities - Activo 0004 (PENDIENTE de vincular)</t>
  </si>
  <si>
    <t>OC0004</t>
  </si>
  <si>
    <t>Otros commodities - Activo 0005 (PENDIENTE de vincular)</t>
  </si>
  <si>
    <t>OC0005</t>
  </si>
  <si>
    <t>Otros commodities - Activo 0006 (PENDIENTE de vincular)</t>
  </si>
  <si>
    <t>OC0006</t>
  </si>
  <si>
    <t>Otros commodities - Activo 0007 (PENDIENTE de vincular)</t>
  </si>
  <si>
    <t>OC0007</t>
  </si>
  <si>
    <t>Otros commodities - Activo 0008 (PENDIENTE de vincular)</t>
  </si>
  <si>
    <t>OC0008</t>
  </si>
  <si>
    <t>Otros commodities - Activo 0009 (PENDIENTE de vincular)</t>
  </si>
  <si>
    <t>OC0009</t>
  </si>
  <si>
    <t>Otros commodities - Activo 0010 (PENDIENTE de vincular)</t>
  </si>
  <si>
    <t>OC0010</t>
  </si>
  <si>
    <t>Otros commodities - Activo 0011 (PENDIENTE de vincular)</t>
  </si>
  <si>
    <t>OC0011</t>
  </si>
  <si>
    <t>Otros commodities - Activo 0012 (PENDIENTE de vincular)</t>
  </si>
  <si>
    <t>OC0012</t>
  </si>
  <si>
    <t>Otros commodities - Activo 0013 (PENDIENTE de vincular)</t>
  </si>
  <si>
    <t>OC0013</t>
  </si>
  <si>
    <t>Otros commodities - Activo 0014 (PENDIENTE de vincular)</t>
  </si>
  <si>
    <t>OC0014</t>
  </si>
  <si>
    <t>Otros commodities - Activo 0015 (PENDIENTE de vincular)</t>
  </si>
  <si>
    <t>OC0015</t>
  </si>
  <si>
    <t>Otros commodities - Activo 0016 (PENDIENTE de vincular)</t>
  </si>
  <si>
    <t>OC0016</t>
  </si>
  <si>
    <t>Otros commodities - Activo 0017 (PENDIENTE de vincular)</t>
  </si>
  <si>
    <t>OC0017</t>
  </si>
  <si>
    <t>Otros commodities - Activo 0018 (PENDIENTE de vincular)</t>
  </si>
  <si>
    <t>OC0018</t>
  </si>
  <si>
    <t>Otros commodities - Activo 0019 (PENDIENTE de vincular)</t>
  </si>
  <si>
    <t>OC0019</t>
  </si>
  <si>
    <t>Otros commodities - Activo 0020 (PENDIENTE de vincular)</t>
  </si>
  <si>
    <t>OC0020</t>
  </si>
  <si>
    <t>Otros commodities - Activo 0021 (PENDIENTE de vincular)</t>
  </si>
  <si>
    <t>OC0021</t>
  </si>
  <si>
    <t>Otros commodities - Activo 0022 (PENDIENTE de vincular)</t>
  </si>
  <si>
    <t>OC0022</t>
  </si>
  <si>
    <t>Otros commodities - Activo 0023 (PENDIENTE de vincular)</t>
  </si>
  <si>
    <t>OC0023</t>
  </si>
  <si>
    <t>Otros commodities - Activo 0024 (PENDIENTE de vincular)</t>
  </si>
  <si>
    <t>OC0024</t>
  </si>
  <si>
    <t>Otros commodities - Activo 0025 (PENDIENTE de vincular)</t>
  </si>
  <si>
    <t>OC0025</t>
  </si>
  <si>
    <t>Otros commodities - Activo 0026 (PENDIENTE de vincular)</t>
  </si>
  <si>
    <t>OC0026</t>
  </si>
  <si>
    <t>Otros commodities - Activo 0027 (PENDIENTE de vincular)</t>
  </si>
  <si>
    <t>OC0027</t>
  </si>
  <si>
    <t>Otros commodities - Activo 0028 (PENDIENTE de vincular)</t>
  </si>
  <si>
    <t>OC0028</t>
  </si>
  <si>
    <t>Otros commodities - Activo 0029 (PENDIENTE de vincular)</t>
  </si>
  <si>
    <t>OC0029</t>
  </si>
  <si>
    <t>Otros commodities - Activo 0030 (PENDIENTE de vincular)</t>
  </si>
  <si>
    <t>OC0030</t>
  </si>
  <si>
    <t>Otros commodities - Activo 0031 (PENDIENTE de vincular)</t>
  </si>
  <si>
    <t>OC0031</t>
  </si>
  <si>
    <t>Otros commodities - Activo 0032 (PENDIENTE de vincular)</t>
  </si>
  <si>
    <t>OC0032</t>
  </si>
  <si>
    <t>Otros commodities - Activo 0033 (PENDIENTE de vincular)</t>
  </si>
  <si>
    <t>OC0033</t>
  </si>
  <si>
    <t>Otros commodities - Activo 0034 (PENDIENTE de vincular)</t>
  </si>
  <si>
    <t>OC0034</t>
  </si>
  <si>
    <t>Otros commodities - Activo 0035 (PENDIENTE de vincular)</t>
  </si>
  <si>
    <t>OC0035</t>
  </si>
  <si>
    <t>Otros commodities - Activo 0036 (PENDIENTE de vincular)</t>
  </si>
  <si>
    <t>OC0036</t>
  </si>
  <si>
    <t>Otros commodities - Activo 0037 (PENDIENTE de vincular)</t>
  </si>
  <si>
    <t>OC0037</t>
  </si>
  <si>
    <t>Otros commodities - Activo 0038 (PENDIENTE de vincular)</t>
  </si>
  <si>
    <t>OC0038</t>
  </si>
  <si>
    <t>Otros commodities - Activo 0039 (PENDIENTE de vincular)</t>
  </si>
  <si>
    <t>OC0039</t>
  </si>
  <si>
    <t>Otros commodities - Activo 0040 (PENDIENTE de vincular)</t>
  </si>
  <si>
    <t>OC0040</t>
  </si>
  <si>
    <t>Otros commodities - Activo 0041 (PENDIENTE de vincular)</t>
  </si>
  <si>
    <t>OC0041</t>
  </si>
  <si>
    <t>Otros commodities - Activo 0042 (PENDIENTE de vincular)</t>
  </si>
  <si>
    <t>OC0042</t>
  </si>
  <si>
    <t>Otros commodities - Activo 0043 (PENDIENTE de vincular)</t>
  </si>
  <si>
    <t>OC0043</t>
  </si>
  <si>
    <t>Otros commodities - Activo 0044 (PENDIENTE de vincular)</t>
  </si>
  <si>
    <t>OC0044</t>
  </si>
  <si>
    <t>Otros commodities - Activo 0045 (PENDIENTE de vincular)</t>
  </si>
  <si>
    <t>OC0045</t>
  </si>
  <si>
    <t>Otros commodities - Activo 0046 (PENDIENTE de vincular)</t>
  </si>
  <si>
    <t>OC0046</t>
  </si>
  <si>
    <t>Otros commodities - Activo 0047 (PENDIENTE de vincular)</t>
  </si>
  <si>
    <t>OC0047</t>
  </si>
  <si>
    <t>Otros commodities - Activo 0048 (PENDIENTE de vincular)</t>
  </si>
  <si>
    <t>OC0048</t>
  </si>
  <si>
    <t>Otros commodities - Activo 0049 (PENDIENTE de vincular)</t>
  </si>
  <si>
    <t>OC0049</t>
  </si>
  <si>
    <t>Otros commodities - Activo 0050 (PENDIENTE de vincular)</t>
  </si>
  <si>
    <t>OC0050</t>
  </si>
  <si>
    <t>Otros commodities - Activo 0051 (PENDIENTE de vincular)</t>
  </si>
  <si>
    <t>OC0051</t>
  </si>
  <si>
    <t>Otros commodities - Activo 0052 (PENDIENTE de vincular)</t>
  </si>
  <si>
    <t>OC0052</t>
  </si>
  <si>
    <t>Otros commodities - Activo 0053 (PENDIENTE de vincular)</t>
  </si>
  <si>
    <t>OC0053</t>
  </si>
  <si>
    <t>Otros commodities - Activo 0054 (PENDIENTE de vincular)</t>
  </si>
  <si>
    <t>OC0054</t>
  </si>
  <si>
    <t>Otros commodities - Activo 0055 (PENDIENTE de vincular)</t>
  </si>
  <si>
    <t>OC0055</t>
  </si>
  <si>
    <t>Otros commodities - Activo 0056 (PENDIENTE de vincular)</t>
  </si>
  <si>
    <t>OC0056</t>
  </si>
  <si>
    <t>Otros commodities - Activo 0057 (PENDIENTE de vincular)</t>
  </si>
  <si>
    <t>OC0057</t>
  </si>
  <si>
    <t>Otros commodities - Activo 0058 (PENDIENTE de vincular)</t>
  </si>
  <si>
    <t>OC0058</t>
  </si>
  <si>
    <t>Otros commodities - Activo 0059 (PENDIENTE de vincular)</t>
  </si>
  <si>
    <t>OC0059</t>
  </si>
  <si>
    <t>Otros commodities - Activo 0060 (PENDIENTE de vincular)</t>
  </si>
  <si>
    <t>OC0060</t>
  </si>
  <si>
    <t>Otros commodities - Activo 0061 (PENDIENTE de vincular)</t>
  </si>
  <si>
    <t>OC0061</t>
  </si>
  <si>
    <t>Otros commodities - Activo 0062 (PENDIENTE de vincular)</t>
  </si>
  <si>
    <t>OC0062</t>
  </si>
  <si>
    <t>Otros commodities - Activo 0063 (PENDIENTE de vincular)</t>
  </si>
  <si>
    <t>OC0063</t>
  </si>
  <si>
    <t>Otros commodities - Activo 0064 (PENDIENTE de vincular)</t>
  </si>
  <si>
    <t>OC0064</t>
  </si>
  <si>
    <t>Otros commodities - Activo 0065 (PENDIENTE de vincular)</t>
  </si>
  <si>
    <t>OC0065</t>
  </si>
  <si>
    <t>Otros commodities - Activo 0066 (PENDIENTE de vincular)</t>
  </si>
  <si>
    <t>OC0066</t>
  </si>
  <si>
    <t>Otros commodities - Activo 0067 (PENDIENTE de vincular)</t>
  </si>
  <si>
    <t>OC0067</t>
  </si>
  <si>
    <t>Otros commodities - Activo 0068 (PENDIENTE de vincular)</t>
  </si>
  <si>
    <t>OC0068</t>
  </si>
  <si>
    <t>Otros commodities - Activo 0069 (PENDIENTE de vincular)</t>
  </si>
  <si>
    <t>OC0069</t>
  </si>
  <si>
    <t>Otros commodities - Activo 0070 (PENDIENTE de vincular)</t>
  </si>
  <si>
    <t>OC0070</t>
  </si>
  <si>
    <t>HISTORICO DE ALERTAS (todas las combinaciones de cruce evaluadas)</t>
  </si>
  <si>
    <t>En una implementacion real, una macro VBA (ver documento tecnico) añade una fila nueva aqui cada vez que se detecta un cruce nuevo, evitando duplicados mediante el ID unico.</t>
  </si>
  <si>
    <t>ID unico</t>
  </si>
  <si>
    <t>Fecha/Hora deteccion</t>
  </si>
  <si>
    <t>Elementos cruzados</t>
  </si>
  <si>
    <t>Banco Santander|1h-VelaMA1|202607281700</t>
  </si>
  <si>
    <t>Vela/Media</t>
  </si>
  <si>
    <t>Vela vs EMA 9</t>
  </si>
  <si>
    <t>ALCISTA</t>
  </si>
  <si>
    <t>Sin clasificar</t>
  </si>
  <si>
    <t>Cruce alcista detectado en Banco Santander (BME (Madrid)). La vela ha cruzado EMA 9 en 1 hora. Nivel: Sin clasificar. Precio: 12.24. 28/7/2026, 18:49:52</t>
  </si>
  <si>
    <t>Nuevo</t>
  </si>
  <si>
    <t>LVMH|1h-MA1MA2|202607281700</t>
  </si>
  <si>
    <t>Media/Media</t>
  </si>
  <si>
    <t>EMA 9 vs EMA 21</t>
  </si>
  <si>
    <t>Cruce alcista detectado en LVMH (Euronext Paris). EMA 9 ha cruzado EMA 21 en 1 hora. Nivel: Sin clasificar. 28/7/2026, 18:49:52</t>
  </si>
  <si>
    <t>Libra / Dolar|15min-VelaMA1|202607281845</t>
  </si>
  <si>
    <t>BAJISTA</t>
  </si>
  <si>
    <t>Cruce bajista detectado en Libra / Dolar (OTC/Interbancario). La vela ha cruzado EMA 9 en 15 min. Nivel: Sin clasificar. Precio: 1.33. 28/7/2026, 18:49:53</t>
  </si>
  <si>
    <t>Tesla Inc.|15min-VelaMA1|202607281945</t>
  </si>
  <si>
    <t>Cruce alcista detectado en Tesla Inc. (NASDAQ). La vela ha cruzado EMA 9 en 15 min. Nivel: Sin clasificar. Precio: 307.00. 28/7/2026, 19:50:21</t>
  </si>
  <si>
    <t>SPDR S&amp;P 500 ETF|15min-VelaMA1|202607281945</t>
  </si>
  <si>
    <t>Cruce alcista detectado en SPDR S&amp;P 500 ETF (NYSE Arca). La vela ha cruzado EMA 9 en 15 min. Nivel: Sin clasificar. Precio: 741.19. 28/7/2026, 19:50:21</t>
  </si>
  <si>
    <t>Oro (Futuro)|1h-VelaMA1|202607281900</t>
  </si>
  <si>
    <t>Cruce bajista detectado en Oro (Futuro) (COMEX). La vela ha cruzado EMA 9 en 1 hora. Nivel: Sin clasificar. Precio: 4031.20. 28/7/2026, 19:50:22</t>
  </si>
  <si>
    <t>Plata (Futuro)|15min-VelaMA1|202607281930</t>
  </si>
  <si>
    <t>Cruce bajista detectado en Plata (Futuro) (COMEX). La vela ha cruzado EMA 9 en 15 min. Nivel: Sin clasificar. Precio: 57.41. 28/7/2026, 19:50:22</t>
  </si>
  <si>
    <t>Plata (Futuro)|1h-VelaMA1|202607281900</t>
  </si>
  <si>
    <t>Cruce bajista detectado en Plata (Futuro) (COMEX). La vela ha cruzado EMA 9 en 1 hora. Nivel: Sin clasificar. Precio: 57.41. 28/7/2026, 19:50:22</t>
  </si>
  <si>
    <t>Microsoft Corp.|15min-VelaMA1|202607282000</t>
  </si>
  <si>
    <t>Cruce bajista detectado en Microsoft Corp. (NASDAQ). La vela ha cruzado EMA 9 en 15 min. Nivel: Sin clasificar. Precio: 398.14. 28/7/2026, 20:05:28</t>
  </si>
  <si>
    <t>Tesla Inc.|15min-VelaMA1|202607282000</t>
  </si>
  <si>
    <t>Cruce bajista detectado en Tesla Inc. (NASDAQ). La vela ha cruzado EMA 9 en 15 min. Nivel: Sin clasificar. Precio: 306.16. 28/7/2026, 20:05:28</t>
  </si>
  <si>
    <t>Bitcoin|15min-VelaMA1|202607282000</t>
  </si>
  <si>
    <t>Cruce alcista detectado en Bitcoin (Exchange Cripto). La vela ha cruzado EMA 9 en 15 min. Nivel: Sin clasificar. Precio: 63687.00. 28/7/2026, 20:05:28</t>
  </si>
  <si>
    <t>Ethereum|15min-VelaMA1|202607282000</t>
  </si>
  <si>
    <t>Cruce alcista detectado en Ethereum (Exchange Cripto). La vela ha cruzado EMA 9 en 15 min. Nivel: Sin clasificar. Precio: 1907.70. 28/7/2026, 20:05:28</t>
  </si>
  <si>
    <t>Ethereum|1h-MA1MA2|202607282000</t>
  </si>
  <si>
    <t>Cruce alcista detectado en Ethereum (Exchange Cripto). EMA 9 ha cruzado EMA 21 en 1 hora. Nivel: Sin clasificar. 28/7/2026, 20:05:29</t>
  </si>
  <si>
    <t>SPDR S&amp;P 500 ETF|15min-VelaMA1|202607282000</t>
  </si>
  <si>
    <t>Cruce bajista detectado en SPDR S&amp;P 500 ETF (NYSE Arca). La vela ha cruzado EMA 9 en 15 min. Nivel: Sin clasificar. Precio: 741.11. 28/7/2026, 20:05:29</t>
  </si>
  <si>
    <t>Plata (Futuro)|15min-MA1MA2|202607281945</t>
  </si>
  <si>
    <t>Cruce bajista detectado en Plata (Futuro) (COMEX). EMA 9 ha cruzado EMA 21 en 15 min. Nivel: Sin clasificar. 28/7/2026, 20:05:29</t>
  </si>
  <si>
    <t>LVMH|15min-VelaMA1|202607291715</t>
  </si>
  <si>
    <t>Cruce bajista detectado en LVMH (Euronext Paris). La vela ha cruzado EMA 9 en 15 min. Nivel: Sin clasificar. Precio: 466.80. 29/7/2026, 20:18:51</t>
  </si>
  <si>
    <t>SPDR S&amp;P 500 ETF|1h-VelaMA1|202607291930</t>
  </si>
  <si>
    <t>Cruce alcista detectado en SPDR S&amp;P 500 ETF (NYSE Arca). La vela ha cruzado EMA 9 en 1 hora. Nivel: Sin clasificar. Precio: 737.34. 29/7/2026, 20:18:53</t>
  </si>
  <si>
    <t>Oro (Futuro)|1h-MA1MA2|202607292000</t>
  </si>
  <si>
    <t>EMA 9 vs EMA 20</t>
  </si>
  <si>
    <t>Cruce alcista detectado en Oro (Futuro) (COMEX). EMA 9 ha cruzado EMA 20 en 1 hora. Nivel: 1. 29/7/2026, 20:18:53</t>
  </si>
  <si>
    <t>Bitcoin|15min-VelaMA1|202607292030</t>
  </si>
  <si>
    <t>Cruce bajista detectado en Bitcoin (Exchange Cripto). La vela ha cruzado EMA 9 en 15 min. Nivel: Sin clasificar. Precio: 63895.85. 29/7/2026, 20:33:58</t>
  </si>
  <si>
    <t>Bitcoin|1h-VelaMA1|202607292000</t>
  </si>
  <si>
    <t>Cruce bajista detectado en Bitcoin (Exchange Cripto). La vela ha cruzado EMA 9 en 1 hora. Nivel: Sin clasificar. Precio: 63895.85. 29/7/2026, 20:33:58</t>
  </si>
  <si>
    <t>Ethereum|15min-VelaMA1|202607292030</t>
  </si>
  <si>
    <t>Cruce bajista detectado en Ethereum (Exchange Cripto). La vela ha cruzado EMA 9 en 15 min. Nivel: Sin clasificar. Precio: 1900.70. 29/7/2026, 20:33:58</t>
  </si>
  <si>
    <t>Ethereum|1h-VelaMA1|202607292000</t>
  </si>
  <si>
    <t>Cruce bajista detectado en Ethereum (Exchange Cripto). La vela ha cruzado EMA 9 en 1 hora. Nivel: Sin clasificar. Precio: 1900.70. 29/7/2026, 20:33:58</t>
  </si>
  <si>
    <t>SPDR S&amp;P 500 ETF|1h-VelaMA1|202607292030</t>
  </si>
  <si>
    <t>Cruce bajista detectado en SPDR S&amp;P 500 ETF (NYSE Arca). La vela ha cruzado EMA 9 en 1 hora. Nivel: Sin clasificar. Precio: 736.89. 29/7/2026, 20:33:59</t>
  </si>
  <si>
    <t>Tesla Inc.|15min-MA1MA2|202607292045</t>
  </si>
  <si>
    <t>Cruce alcista detectado en Tesla Inc. (NASDAQ). EMA 9 ha cruzado EMA 20 en 15 min. Nivel: 1. 29/7/2026, 20:49:05</t>
  </si>
  <si>
    <t>Tesla Inc.|1h-VelaMA1|202607292030</t>
  </si>
  <si>
    <t>Cruce alcista detectado en Tesla Inc. (NASDAQ). La vela ha cruzado EMA 9 en 1 hora. Nivel: Sin clasificar. Precio: 304.96. 29/7/2026, 20:49:05</t>
  </si>
  <si>
    <t>Banco Santander|15min-VelaMA1|202607311730</t>
  </si>
  <si>
    <t>Cruce alcista detectado en Banco Santander (BME (Madrid)). La vela ha cruzado EMA 9 en 15 min. Nivel: Sin clasificar. Precio: 12.32. 31/7/2026, 19:35:38</t>
  </si>
  <si>
    <t>Telefónica|1h-VelaMA1|202607311700</t>
  </si>
  <si>
    <t>Cruce alcista detectado en Telefónica (BME (Madrid)). La vela ha cruzado EMA 9 en 1 hora. Nivel: Sin clasificar. Precio: 3.58. 31/7/2026, 19:35:39</t>
  </si>
  <si>
    <t>Repsol|15min-VelaMA1|202607311730</t>
  </si>
  <si>
    <t>Cruce alcista detectado en Repsol (BME (Madrid)). La vela ha cruzado EMA 9 en 15 min. Nivel: Sin clasificar. Precio: 26.38. 31/7/2026, 19:35:39</t>
  </si>
  <si>
    <t>Repsol|1h-VelaMA1|202607311700</t>
  </si>
  <si>
    <t>Cruce alcista detectado en Repsol (BME (Madrid)). La vela ha cruzado EMA 9 en 1 hora. Nivel: Sin clasificar. Precio: 26.38. 31/7/2026, 19:35:39</t>
  </si>
  <si>
    <t>Banco Sabadell|1h-VelaMA1|202607311700</t>
  </si>
  <si>
    <t>Cruce bajista detectado en Banco Sabadell (BME (Madrid)). La vela ha cruzado EMA 9 en 1 hora. Nivel: Sin clasificar. Precio: 3.33. 31/7/2026, 19:35:39</t>
  </si>
  <si>
    <t>ACS|1h-VelaMA1|202607311700</t>
  </si>
  <si>
    <t>Cruce bajista detectado en ACS (BME (Madrid)). La vela ha cruzado EMA 9 en 1 hora. Nivel: Sin clasificar. Precio: 110.30. 31/7/2026, 19:35:40</t>
  </si>
  <si>
    <t>ArcelorMittal|15min-VelaMA1|202607311730</t>
  </si>
  <si>
    <t>Cruce bajista detectado en ArcelorMittal (BME (Madrid)). La vela ha cruzado EMA 9 en 15 min. Nivel: Sin clasificar. Precio: 60.64. 31/7/2026, 19:35:40</t>
  </si>
  <si>
    <t>Aena|15min-VelaMA1|202607311730</t>
  </si>
  <si>
    <t>Cruce bajista detectado en Aena (BME (Madrid)). La vela ha cruzado EMA 9 en 15 min. Nivel: Sin clasificar. Precio: 26.68. 31/7/2026, 19:35:41</t>
  </si>
  <si>
    <t>Aena|1h-MA1MA2|202607311700</t>
  </si>
  <si>
    <t>Cruce bajista detectado en Aena (BME (Madrid)). EMA 9 ha cruzado EMA 20 en 1 hora. Nivel: 1. 31/7/2026, 19:35:42</t>
  </si>
  <si>
    <t>Unicaja Banco|15min-MA1MA2|202607311730</t>
  </si>
  <si>
    <t>Cruce bajista detectado en Unicaja Banco (BME (Madrid)). EMA 9 ha cruzado EMA 20 en 15 min. Nivel: 1. 31/7/2026, 19:35:45</t>
  </si>
  <si>
    <t>Acerinox|15min-VelaMA1|202607311730</t>
  </si>
  <si>
    <t>Cruce alcista detectado en Acerinox (BME (Madrid)). La vela ha cruzado EMA 9 en 15 min. Nivel: Sin clasificar. Precio: 17.38. 31/7/2026, 19:35:45</t>
  </si>
  <si>
    <t>Ethereum|1h-VelaMA1|202607311900</t>
  </si>
  <si>
    <t>Cruce alcista detectado en Ethereum (Exchange Cripto). La vela ha cruzado EMA 9 en 1 hora. Nivel: Sin clasificar. Precio: 1873.20. 31/7/2026, 19:35:46</t>
  </si>
  <si>
    <t>Ripple|1h-VelaMA1|202607311900</t>
  </si>
  <si>
    <t>Cruce alcista detectado en Ripple (Exchange Cripto). La vela ha cruzado EMA 9 en 1 hora. Nivel: Sin clasificar. Precio: 1.07. 31/7/2026, 19:35:47</t>
  </si>
  <si>
    <t>Euro / Libra|1h-VelaMA1|202607311900</t>
  </si>
  <si>
    <t>Cruce alcista detectado en Euro / Libra (OTC/Interbancario). La vela ha cruzado EMA 9 en 1 hora. Nivel: Sin clasificar. Precio: 0.86. 31/7/2026, 19:50:53</t>
  </si>
  <si>
    <t>Tether|1h-VelaMA1|202607311900</t>
  </si>
  <si>
    <t>Cruce alcista detectado en Tether (Exchange Cripto). La vela ha cruzado EMA 9 en 1 hora. Nivel: Sin clasificar. Precio: 1.00. 31/7/2026, 19:51:00</t>
  </si>
  <si>
    <t>Oro (Futuro)|15min-MA1MA2|202607311930</t>
  </si>
  <si>
    <t>Cruce alcista detectado en Oro (Futuro) (COMEX). EMA 9 ha cruzado EMA 20 en 15 min. Nivel: 1. 31/7/2026, 19:51:02</t>
  </si>
  <si>
    <t>Oro (Futuro)|1h-VelaMA1|202607311900</t>
  </si>
  <si>
    <t>Cruce alcista detectado en Oro (Futuro) (COMEX). La vela ha cruzado EMA 9 en 1 hora. Nivel: Sin clasificar. Precio: 4107.70. 31/7/2026, 19:51:02</t>
  </si>
  <si>
    <t>Plata (Futuro)|15min-MA1MA2|202607311930</t>
  </si>
  <si>
    <t>Cruce alcista detectado en Plata (Futuro) (COMEX). EMA 9 ha cruzado EMA 20 en 15 min. Nivel: 1. 31/7/2026, 19:51:02</t>
  </si>
  <si>
    <t>Plata (Futuro)|1h-VelaMA1|202607311900</t>
  </si>
  <si>
    <t>Cruce alcista detectado en Plata (Futuro) (COMEX). La vela ha cruzado EMA 9 en 1 hora. Nivel: Sin clasificar. Precio: 58.00. 31/7/2026, 19:51:02</t>
  </si>
  <si>
    <t>Euro / Libra|15min-MA1MA2|202607312000</t>
  </si>
  <si>
    <t>Cruce alcista detectado en Euro / Libra (OTC/Interbancario). EMA 9 ha cruzado EMA 20 en 15 min. Nivel: 1. 31/7/2026, 20:06:06</t>
  </si>
  <si>
    <t>Euro / Libra|1h-VelaMA1|202607312000</t>
  </si>
  <si>
    <t>Cruce alcista detectado en Euro / Libra (OTC/Interbancario). La vela ha cruzado EMA 9 en 1 hora. Nivel: Sin clasificar. Precio: 0.86. 31/7/2026, 20:06:06</t>
  </si>
  <si>
    <t>Ethereum|1h-VelaMA1|202607312000</t>
  </si>
  <si>
    <t>Cruce bajista detectado en Ethereum (Exchange Cripto). La vela ha cruzado EMA 9 en 1 hora. Nivel: Sin clasificar. Precio: 1872.25. 31/7/2026, 20:06:15</t>
  </si>
  <si>
    <t>Ripple|15min-MA1MA2|202607312000</t>
  </si>
  <si>
    <t>Cruce alcista detectado en Ripple (Exchange Cripto). EMA 9 ha cruzado EMA 20 en 15 min. Nivel: 1. 31/7/2026, 20:06:15</t>
  </si>
  <si>
    <t>Ripple|1h-VelaMA1|202607312000</t>
  </si>
  <si>
    <t>Cruce bajista detectado en Ripple (Exchange Cripto). La vela ha cruzado EMA 9 en 1 hora. Nivel: Sin clasificar. Precio: 1.07. 31/7/2026, 20:06:15</t>
  </si>
  <si>
    <t>Dolar AUS / Dolar|15min-VelaMA1|202608032015</t>
  </si>
  <si>
    <t>Cruce alcista detectado en Dolar AUS / Dolar (OTC/Interbancario). La vela ha cruzado EMA 9 en 15 min. Nivel: Sin clasificar. Precio: 0.70. 3/8/2026, 20:26:36</t>
  </si>
  <si>
    <t>Dolar NZ / Dolar|15min-VelaMA1|202608032015</t>
  </si>
  <si>
    <t>Cruce alcista detectado en Dolar NZ / Dolar (OTC/Interbancario). La vela ha cruzado EMA 9 en 15 min. Nivel: Sin clasificar. Precio: 0.59. 3/8/2026, 20:26:36</t>
  </si>
  <si>
    <t>Inditex|15min-VelaMA1|202608031730</t>
  </si>
  <si>
    <t>Cruce bajista detectado en Inditex (BME (Madrid)). La vela ha cruzado EMA 9 en 15 min. Nivel: Sin clasificar. Precio: 57.76. 3/8/2026, 20:26:38</t>
  </si>
  <si>
    <t>Repsol|15min-MA1MA2|202608031730</t>
  </si>
  <si>
    <t>Cruce alcista detectado en Repsol (BME (Madrid)). EMA 9 ha cruzado EMA 20 en 15 min. Nivel: 1. 3/8/2026, 20:26:38</t>
  </si>
  <si>
    <t>Repsol|1h-VelaMA1|202608031700</t>
  </si>
  <si>
    <t>Cruce alcista detectado en Repsol (BME (Madrid)). La vela ha cruzado EMA 9 en 1 hora. Nivel: Sin clasificar. Precio: 26.04. 3/8/2026, 20:26:39</t>
  </si>
  <si>
    <t>Bankinter|15min-VelaMA1|202608031730</t>
  </si>
  <si>
    <t>Cruce alcista detectado en Bankinter (BME (Madrid)). La vela ha cruzado EMA 9 en 15 min. Nivel: Sin clasificar. Precio: 15.89. 3/8/2026, 20:26:44</t>
  </si>
  <si>
    <t>Aena|1h-VelaMA1|202608031700</t>
  </si>
  <si>
    <t>Cruce bajista detectado en Aena (BME (Madrid)). La vela ha cruzado EMA 9 en 1 hora. Nivel: Sin clasificar. Precio: 26.82. 3/8/2026, 20:26:45</t>
  </si>
  <si>
    <t>Naturgy|15min-VelaMA1|202608031730</t>
  </si>
  <si>
    <t>Cruce bajista detectado en Naturgy (BME (Madrid)). La vela ha cruzado EMA 9 en 15 min. Nivel: Sin clasificar. Precio: 28.74. 3/8/2026, 20:26:45</t>
  </si>
  <si>
    <t>Acciona|15min-VelaMA1|202608031730</t>
  </si>
  <si>
    <t>Cruce bajista detectado en Acciona (BME (Madrid)). La vela ha cruzado EMA 9 en 15 min. Nivel: Sin clasificar. Precio: 231.20. 3/8/2026, 20:26:46</t>
  </si>
  <si>
    <t>Acciona|1h-VelaMA1|202608031700</t>
  </si>
  <si>
    <t>Cruce bajista detectado en Acciona (BME (Madrid)). La vela ha cruzado EMA 9 en 1 hora. Nivel: Sin clasificar. Precio: 231.20. 3/8/2026, 20:26:47</t>
  </si>
  <si>
    <t>Indra|15min-VelaMA1|202608031730</t>
  </si>
  <si>
    <t>Cruce bajista detectado en Indra (BME (Madrid)). La vela ha cruzado EMA 9 en 15 min. Nivel: Sin clasificar. Precio: 58.58. 3/8/2026, 20:26:47</t>
  </si>
  <si>
    <t>IAG|1h-VelaMA1|202608031700</t>
  </si>
  <si>
    <t>Cruce bajista detectado en IAG (BME (Madrid)). La vela ha cruzado EMA 9 en 1 hora. Nivel: Sin clasificar. Precio: 5.06. 3/8/2026, 20:26:48</t>
  </si>
  <si>
    <t>Ripple|15min-VelaMA1|202608032015</t>
  </si>
  <si>
    <t>Cruce bajista detectado en Ripple (Exchange Cripto). La vela ha cruzado EMA 9 en 15 min. Nivel: Sin clasificar. Precio: 1.08. 3/8/2026, 20:26:50</t>
  </si>
  <si>
    <t>Dogecoin|15min-VelaMA1|202608032015</t>
  </si>
  <si>
    <t>Cruce bajista detectado en Dogecoin (Exchange Cripto). La vela ha cruzado EMA 9 en 15 min. Nivel: Sin clasificar. Precio: 0.07. 3/8/2026, 20:26:50</t>
  </si>
  <si>
    <t>Plata (Futuro)|1h-VelaMA1|202608032000</t>
  </si>
  <si>
    <t>Cruce alcista detectado en Plata (Futuro) (COMEX). La vela ha cruzado EMA 9 en 1 hora. Nivel: Sin clasificar. Precio: 58.06. 3/8/2026, 20:26:51</t>
  </si>
  <si>
    <t>Bitcoin|15min-VelaMA1|202608032030</t>
  </si>
  <si>
    <t>Cruce bajista detectado en Bitcoin (Exchange Cripto). La vela ha cruzado EMA 9 en 15 min. Nivel: Sin clasificar. Precio: 63768.32. 3/8/2026, 20:42:03</t>
  </si>
  <si>
    <t>Ethereum|15min-VelaMA1|202608032030</t>
  </si>
  <si>
    <t>Cruce bajista detectado en Ethereum (Exchange Cripto). La vela ha cruzado EMA 9 en 15 min. Nivel: Sin clasificar. Precio: 1866.02. 3/8/2026, 20:42:03</t>
  </si>
  <si>
    <t>Tether|15min-VelaMA1|202608032030</t>
  </si>
  <si>
    <t>Cruce alcista detectado en Tether (Exchange Cripto). La vela ha cruzado EMA 9 en 15 min. Nivel: Sin clasificar. Precio: 1.00. 3/8/2026, 20:42:03</t>
  </si>
  <si>
    <t>Dolar AUS / Dolar|1h-VelaMA1|202608111900</t>
  </si>
  <si>
    <t>Cruce bajista detectado en Dolar AUS / Dolar (OTC/Interbancario). La vela ha cruzado EMA 9 en 1 hora. Nivel: Sin clasificar. Precio: 0.71. 11/8/2026, 19:21:51</t>
  </si>
  <si>
    <t>Dolar NZ / Dolar|1h-VelaMA1|202608111900</t>
  </si>
  <si>
    <t>Cruce bajista detectado en Dolar NZ / Dolar (OTC/Interbancario). La vela ha cruzado EMA 9 en 1 hora. Nivel: Sin clasificar. Precio: 0.59. 11/8/2026, 19:21:51</t>
  </si>
  <si>
    <t>Euro / Libra|1h-VelaMA1|202608111900</t>
  </si>
  <si>
    <t>Cruce alcista detectado en Euro / Libra (OTC/Interbancario). La vela ha cruzado EMA 9 en 1 hora. Nivel: Sin clasificar. Precio: 0.85. 11/8/2026, 19:21:51</t>
  </si>
  <si>
    <t>Banco Santander|15min-VelaMA1|202608111730</t>
  </si>
  <si>
    <t>Cruce alcista detectado en Banco Santander (BME (Madrid)). La vela ha cruzado EMA 9 en 15 min. Nivel: Sin clasificar. Precio: 12.85. 11/8/2026, 19:21:52</t>
  </si>
  <si>
    <t>Iberdrola|15min-VelaMA1|202608111730</t>
  </si>
  <si>
    <t>Cruce bajista detectado en Iberdrola (BME (Madrid)). La vela ha cruzado EMA 9 en 15 min. Nivel: Sin clasificar. Precio: 20.59. 11/8/2026, 19:21:52</t>
  </si>
  <si>
    <t>ArcelorMittal|15min-MA1MA2|202608111730</t>
  </si>
  <si>
    <t>Cruce bajista detectado en ArcelorMittal (BME (Madrid)). EMA 9 ha cruzado EMA 20 en 15 min. Nivel: 1. 11/8/2026, 19:21:54</t>
  </si>
  <si>
    <t>ArcelorMittal|1h-VelaMA1|202608111700</t>
  </si>
  <si>
    <t>Cruce bajista detectado en ArcelorMittal (BME (Madrid)). La vela ha cruzado EMA 9 en 1 hora. Nivel: Sin clasificar. Precio: 64.20. 11/8/2026, 19:21:54</t>
  </si>
  <si>
    <t>Aena|15min-MA1MA2|202608111730</t>
  </si>
  <si>
    <t>Cruce bajista detectado en Aena (BME (Madrid)). EMA 9 ha cruzado EMA 20 en 15 min. Nivel: 1. 11/8/2026, 19:21:54</t>
  </si>
  <si>
    <t>Aena|1h-MA1MA2|202608111700</t>
  </si>
  <si>
    <t>Cruce bajista detectado en Aena (BME (Madrid)). EMA 9 ha cruzado EMA 20 en 1 hora. Nivel: 1. 11/8/2026, 19:21:54</t>
  </si>
  <si>
    <t>Mapfre|15min-VelaMA1|202608111730</t>
  </si>
  <si>
    <t>Cruce bajista detectado en Mapfre (BME (Madrid)). La vela ha cruzado EMA 9 en 15 min. Nivel: Sin clasificar. Precio: 4.38. 11/8/2026, 19:21:55</t>
  </si>
  <si>
    <t>Indra|1h-VelaMA1|202608111700</t>
  </si>
  <si>
    <t>Cruce bajista detectado en Indra (BME (Madrid)). La vela ha cruzado EMA 9 en 1 hora. Nivel: Sin clasificar. Precio: 64.34. 11/8/2026, 19:21:56</t>
  </si>
  <si>
    <t>IAG|15min-VelaMA1|202608111730</t>
  </si>
  <si>
    <t>Cruce bajista detectado en IAG (BME (Madrid)). La vela ha cruzado EMA 9 en 15 min. Nivel: Sin clasificar. Precio: 5.15. 11/8/2026, 19:21:56</t>
  </si>
  <si>
    <t>IAG|1h-VelaMA1|202608111700</t>
  </si>
  <si>
    <t>Cruce bajista detectado en IAG (BME (Madrid)). La vela ha cruzado EMA 9 en 1 hora. Nivel: Sin clasificar. Precio: 5.15. 11/8/2026, 19:21:56</t>
  </si>
  <si>
    <t>Acerinox|15min-VelaMA1|202608111730</t>
  </si>
  <si>
    <t>Cruce alcista detectado en Acerinox (BME (Madrid)). La vela ha cruzado EMA 9 en 15 min. Nivel: Sin clasificar. Precio: 18.29. 11/8/2026, 19:21:57</t>
  </si>
  <si>
    <t>Tether|1h-MA1MA2|202608111900</t>
  </si>
  <si>
    <t>Cruce bajista detectado en Tether (Exchange Cripto). EMA 9 ha cruzado EMA 20 en 1 hora. Nivel: 1. 11/8/2026, 19:21:58</t>
  </si>
  <si>
    <t>Dogecoin|15min-VelaMA1|202608111915</t>
  </si>
  <si>
    <t>Cruce alcista detectado en Dogecoin (Exchange Cripto). La vela ha cruzado EMA 9 en 15 min. Nivel: Sin clasificar. Precio: 0.07. 11/8/2026, 19:21:59</t>
  </si>
  <si>
    <t>Litecoin|1h-VelaMA1|202608111900</t>
  </si>
  <si>
    <t>Cruce alcista detectado en Litecoin (Exchange Cripto). La vela ha cruzado EMA 9 en 1 hora. Nivel: Sin clasificar. Precio: 45.14. 11/8/2026, 19:21:59</t>
  </si>
  <si>
    <t>Tether|15min-VelaMA1|202608111930</t>
  </si>
  <si>
    <t>Cruce alcista detectado en Tether (Exchange Cripto). La vela ha cruzado EMA 9 en 15 min. Nivel: Sin clasificar. Precio: 1.00. 11/8/2026, 19:37:10</t>
  </si>
  <si>
    <t>Tether|1h-VelaMA1|202608111900</t>
  </si>
  <si>
    <t>Cruce alcista detectado en Tether (Exchange Cripto). La vela ha cruzado EMA 9 en 1 hora. Nivel: Sin clasificar. Precio: 1.00. 11/8/2026, 19:37:10</t>
  </si>
  <si>
    <t>Dolar NZ / Dolar|15min-VelaMA1|202608111945</t>
  </si>
  <si>
    <t>Cruce alcista detectado en Dolar NZ / Dolar (OTC/Interbancario). La vela ha cruzado EMA 9 en 15 min. Nivel: Sin clasificar. Precio: 0.59. 11/8/2026, 19:52:18</t>
  </si>
  <si>
    <t>Dolar NZ / Dolar|15min-MA1MA2|202608111945</t>
  </si>
  <si>
    <t>Cruce alcista detectado en Dolar NZ / Dolar (OTC/Interbancario). EMA 9 ha cruzado EMA 20 en 15 min. Nivel: 1. 11/8/2026, 19:52:18</t>
  </si>
  <si>
    <t>Tether|15min-VelaMA1|202608111945</t>
  </si>
  <si>
    <t>Cruce alcista detectado en Tether (Exchange Cripto). La vela ha cruzado EMA 9 en 15 min. Nivel: Sin clasificar. Precio: 1.00. 11/8/2026, 19:52:25</t>
  </si>
  <si>
    <t>Solana|15min-VelaMA1|202608111945</t>
  </si>
  <si>
    <t>Cruce alcista detectado en Solana (Exchange Cripto). La vela ha cruzado EMA 9 en 15 min. Nivel: Sin clasificar. Precio: 75.01. 11/8/2026, 19:52:25</t>
  </si>
  <si>
    <t>Cardano|15min-VelaMA1|202608111945</t>
  </si>
  <si>
    <t>Cruce bajista detectado en Cardano (Exchange Cripto). La vela ha cruzado EMA 9 en 15 min. Nivel: Sin clasificar. Precio: 0.19. 11/8/2026, 19:52:26</t>
  </si>
  <si>
    <t>Dolar AUS / Dolar|1h-MA1MA2|202608131600</t>
  </si>
  <si>
    <t>Cruce alcista detectado en Dolar AUS / Dolar (OTC/Interbancario). EMA 9 ha cruzado EMA 20 en 1 hora. Nivel: 1. 13/8/2026, 16:54:46</t>
  </si>
  <si>
    <t>Euro / Libra|15min-VelaMA1|202608131645</t>
  </si>
  <si>
    <t>Cruce bajista detectado en Euro / Libra (OTC/Interbancario). La vela ha cruzado EMA 9 en 15 min. Nivel: Sin clasificar. Precio: 0.85. 13/8/2026, 16:54:47</t>
  </si>
  <si>
    <t>BBVA|1h-VelaMA1|202608131600</t>
  </si>
  <si>
    <t>Cruce alcista detectado en BBVA (BME (Madrid)). La vela ha cruzado EMA 9 en 1 hora. Nivel: Sin clasificar. Precio: 25.07. 13/8/2026, 16:54:47</t>
  </si>
  <si>
    <t>Inditex|1h-VelaMA1|202608131600</t>
  </si>
  <si>
    <t>Cruce bajista detectado en Inditex (BME (Madrid)). La vela ha cruzado EMA 9 en 1 hora. Nivel: Sin clasificar. Precio: 58.22. 13/8/2026, 16:54:48</t>
  </si>
  <si>
    <t>Repsol|1h-VelaMA1|202608131600</t>
  </si>
  <si>
    <t>Cruce alcista detectado en Repsol (BME (Madrid)). La vela ha cruzado EMA 9 en 1 hora. Nivel: Sin clasificar. Precio: 26.07. 13/8/2026, 16:54:48</t>
  </si>
  <si>
    <t>Banco Sabadell|15min-VelaMA1|202608131630</t>
  </si>
  <si>
    <t>Cruce bajista detectado en Banco Sabadell (BME (Madrid)). La vela ha cruzado EMA 9 en 15 min. Nivel: Sin clasificar. Precio: 3.59. 13/8/2026, 16:54:48</t>
  </si>
  <si>
    <t>ACS|15min-VelaMA1|202608131630</t>
  </si>
  <si>
    <t>Cruce alcista detectado en ACS (BME (Madrid)). La vela ha cruzado EMA 9 en 15 min. Nivel: Sin clasificar. Precio: 110.60. 13/8/2026, 16:54:49</t>
  </si>
  <si>
    <t>ACS|1h-VelaMA1|202608131600</t>
  </si>
  <si>
    <t>Cruce alcista detectado en ACS (BME (Madrid)). La vela ha cruzado EMA 9 en 1 hora. Nivel: Sin clasificar. Precio: 110.60. 13/8/2026, 16:54:49</t>
  </si>
  <si>
    <t>ArcelorMittal|15min-MA1MA2|202608131630</t>
  </si>
  <si>
    <t>Cruce bajista detectado en ArcelorMittal (BME (Madrid)). EMA 9 ha cruzado EMA 20 en 15 min. Nivel: 1. 13/8/2026, 16:54:49</t>
  </si>
  <si>
    <t>Bankinter|1h-VelaMA1|202608131600</t>
  </si>
  <si>
    <t>Cruce alcista detectado en Bankinter (BME (Madrid)). La vela ha cruzado EMA 9 en 1 hora. Nivel: Sin clasificar. Precio: 16.75. 13/8/2026, 16:54:50</t>
  </si>
  <si>
    <t>Aena|15min-VelaMA1|202608131630</t>
  </si>
  <si>
    <t>Cruce bajista detectado en Aena (BME (Madrid)). La vela ha cruzado EMA 9 en 15 min. Nivel: Sin clasificar. Precio: 26.94. 13/8/2026, 16:54:50</t>
  </si>
  <si>
    <t>Indra|1h-VelaMA1|202608131600</t>
  </si>
  <si>
    <t>Cruce bajista detectado en Indra (BME (Madrid)). La vela ha cruzado EMA 9 en 1 hora. Nivel: Sin clasificar. Precio: 64.82. 13/8/2026, 16:54:52</t>
  </si>
  <si>
    <t>Ethereum|1h-MA1MA2|202608131600</t>
  </si>
  <si>
    <t>Cruce alcista detectado en Ethereum (Exchange Cripto). EMA 9 ha cruzado EMA 20 en 1 hora. Nivel: 1. 13/8/2026, 16:54:53</t>
  </si>
  <si>
    <t>Ripple|1h-VelaMA1|202608131600</t>
  </si>
  <si>
    <t>Cruce alcista detectado en Ripple (Exchange Cripto). La vela ha cruzado EMA 9 en 1 hora. Nivel: Sin clasificar. Precio: 1.01. 13/8/2026, 16:54:54</t>
  </si>
  <si>
    <t>Dogecoin|15min-VelaMA1|202608131645</t>
  </si>
  <si>
    <t>Cruce bajista detectado en Dogecoin (Exchange Cripto). La vela ha cruzado EMA 9 en 15 min. Nivel: Sin clasificar. Precio: 0.07. 13/8/2026, 16:54:54</t>
  </si>
  <si>
    <t>Litecoin|15min-MA1MA2|202608131645</t>
  </si>
  <si>
    <t>Cruce alcista detectado en Litecoin (Exchange Cripto). EMA 9 ha cruzado EMA 20 en 15 min. Nivel: 1. 13/8/2026, 16:54:54</t>
  </si>
  <si>
    <t>Litecoin|1h-VelaMA1|202608131600</t>
  </si>
  <si>
    <t>Cruce alcista detectado en Litecoin (Exchange Cripto). La vela ha cruzado EMA 9 en 1 hora. Nivel: Sin clasificar. Precio: 44.84. 13/8/2026, 16:54:54</t>
  </si>
  <si>
    <t>Oro (Futuro)|15min-VelaMA1|202608131630</t>
  </si>
  <si>
    <t>Cruce alcista detectado en Oro (Futuro) (COMEX). La vela ha cruzado EMA 9 en 15 min. Nivel: Sin clasificar. Precio: 4438.60. 13/8/2026, 16:54:55</t>
  </si>
  <si>
    <t>Plata (Futuro)|15min-VelaMA1|202608131630</t>
  </si>
  <si>
    <t>Cruce alcista detectado en Plata (Futuro) (COMEX). La vela ha cruzado EMA 9 en 15 min. Nivel: Sin clasificar. Precio: 65.14. 13/8/2026, 16:54:55</t>
  </si>
  <si>
    <t>Repsol|15min-MA1MA2|202608131645</t>
  </si>
  <si>
    <t>Cruce alcista detectado en Repsol (BME (Madrid)). EMA 9 ha cruzado EMA 20 en 15 min. Nivel: 1. 13/8/2026, 17:10:03</t>
  </si>
  <si>
    <t>Naturgy|15min-VelaMA1|202608131645</t>
  </si>
  <si>
    <t>Cruce alcista detectado en Naturgy (BME (Madrid)). La vela ha cruzado EMA 9 en 15 min. Nivel: Sin clasificar. Precio: 28.94. 13/8/2026, 17:10:05</t>
  </si>
  <si>
    <t>Mapfre|1h-VelaMA1|202608131600</t>
  </si>
  <si>
    <t>Cruce bajista detectado en Mapfre (BME (Madrid)). La vela ha cruzado EMA 9 en 1 hora. Nivel: Sin clasificar. Precio: 4.41. 13/8/2026, 17:10:05</t>
  </si>
  <si>
    <t>Acerinox|15min-VelaMA1|202608131645</t>
  </si>
  <si>
    <t>Cruce bajista detectado en Acerinox (BME (Madrid)). La vela ha cruzado EMA 9 en 15 min. Nivel: Sin clasificar. Precio: 18.37. 13/8/2026, 17:10:07</t>
  </si>
  <si>
    <t>Ripple|15min-MA1MA2|202608131700</t>
  </si>
  <si>
    <t>Cruce alcista detectado en Ripple (Exchange Cripto). EMA 9 ha cruzado EMA 20 en 15 min. Nivel: 1. 13/8/2026, 17:10:08</t>
  </si>
  <si>
    <t>Plata (Futuro)|15min-MA1MA2|202608131700</t>
  </si>
  <si>
    <t>Cruce alcista detectado en Plata (Futuro) (COMEX). EMA 9 ha cruzado EMA 20 en 15 min. Nivel: 1. 13/8/2026, 17:10:09</t>
  </si>
  <si>
    <t>ACS|15min-VelaMA1|202608241200</t>
  </si>
  <si>
    <t>Cruce bajista detectado en ACS (BME (Madrid)). La vela ha cruzado EMA 9 en 15 min. Nivel: Sin clasificar. Precio: 105.90. 24/8/2026, 12:30:25</t>
  </si>
  <si>
    <t>ACS|1h-VelaMA1|202608241200</t>
  </si>
  <si>
    <t>Cruce bajista detectado en ACS (BME (Madrid)). La vela ha cruzado EMA 9 en 1 hora. Nivel: Sin clasificar. Precio: 105.90. 24/8/2026, 12:30:26</t>
  </si>
  <si>
    <t>Naturgy|15min-VelaMA1|202608241200</t>
  </si>
  <si>
    <t>Cruce bajista detectado en Naturgy (BME (Madrid)). La vela ha cruzado EMA 9 en 15 min. Nivel: Sin clasificar. Precio: 29.46. 24/8/2026, 12:30:28</t>
  </si>
  <si>
    <t>Naturgy|15min-MA1MA2|202608241200</t>
  </si>
  <si>
    <t>Cruce bajista detectado en Naturgy (BME (Madrid)). EMA 9 ha cruzado EMA 20 en 15 min. Nivel: 1. 24/8/2026, 12:30:28</t>
  </si>
  <si>
    <t>Naturgy|1h-VelaMA1|202608241200</t>
  </si>
  <si>
    <t>Cruce bajista detectado en Naturgy (BME (Madrid)). La vela ha cruzado EMA 9 en 1 hora. Nivel: Sin clasificar. Precio: 29.46. 24/8/2026, 12:30:28</t>
  </si>
  <si>
    <t>Acerinox|1h-MA1MA2|202608241200</t>
  </si>
  <si>
    <t>Cruce alcista detectado en Acerinox (BME (Madrid)). EMA 9 ha cruzado EMA 20 en 1 hora. Nivel: 1. 24/8/2026, 12:30:30</t>
  </si>
  <si>
    <t>Tether|1h-MA1MA2|202608241200</t>
  </si>
  <si>
    <t>Cruce bajista detectado en Tether (Exchange Cripto). EMA 9 ha cruzado EMA 20 en 1 hora. Nivel: 1. 24/8/2026, 12:30:31</t>
  </si>
  <si>
    <t>Dogecoin|15min-VelaMA1|202608241230</t>
  </si>
  <si>
    <t>Cruce alcista detectado en Dogecoin (Exchange Cripto). La vela ha cruzado EMA 9 en 15 min. Nivel: Sin clasificar. Precio: 0.09. 24/8/2026, 12:30:32</t>
  </si>
  <si>
    <t>Plata (Futuro)|1h-VelaMA1|202608241200</t>
  </si>
  <si>
    <t>Cruce alcista detectado en Plata (Futuro) (COMEX). La vela ha cruzado EMA 9 en 1 hora. Nivel: Sin clasificar. Precio: 68.94. 24/8/2026, 12:30:33</t>
  </si>
  <si>
    <t>Repsol|15min-VelaMA1|202608241230</t>
  </si>
  <si>
    <t>Cruce bajista detectado en Repsol (BME (Madrid)). La vela ha cruzado EMA 9 en 15 min. Nivel: Sin clasificar. Precio: 27.40. 24/8/2026, 12:45:41</t>
  </si>
  <si>
    <t>Naturgy|15min-VelaMA1|202608241215</t>
  </si>
  <si>
    <t>Cruce alcista detectado en Naturgy (BME (Madrid)). La vela ha cruzado EMA 9 en 15 min. Nivel: Sin clasificar. Precio: 29.50. 24/8/2026, 12:45:42</t>
  </si>
  <si>
    <t>Acciona|15min-VelaMA1|202608241215</t>
  </si>
  <si>
    <t>Cruce bajista detectado en Acciona (BME (Madrid)). La vela ha cruzado EMA 9 en 15 min. Nivel: Sin clasificar. Precio: 210.40. 24/8/2026, 12:45:43</t>
  </si>
  <si>
    <t>Indra|15min-VelaMA1|202608241215</t>
  </si>
  <si>
    <t>Cruce alcista detectado en Indra (BME (Madrid)). La vela ha cruzado EMA 9 en 15 min. Nivel: Sin clasificar. Precio: 61.50. 24/8/2026, 12:45:43</t>
  </si>
  <si>
    <t>Dolar AUS / Dolar|15min-VelaMA1|202608241600</t>
  </si>
  <si>
    <t>Cruce bajista detectado en Dolar AUS / Dolar (OTC/Interbancario). La vela ha cruzado EMA 9 en 15 min. Nivel: Sin clasificar. Precio: 0.72. 24/8/2026, 16:03:15</t>
  </si>
  <si>
    <t>Dolar AUS / Dolar|1h-VelaMA1|202608241600</t>
  </si>
  <si>
    <t>Cruce bajista detectado en Dolar AUS / Dolar (OTC/Interbancario). La vela ha cruzado EMA 9 en 1 hora. Nivel: Sin clasificar. Precio: 0.72. 24/8/2026, 16:03:15</t>
  </si>
  <si>
    <t>ArcelorMittal|15min-VelaMA1|202608241545</t>
  </si>
  <si>
    <t>Cruce alcista detectado en ArcelorMittal (BME (Madrid)). La vela ha cruzado EMA 9 en 15 min. Nivel: Sin clasificar. Precio: 63.20. 24/8/2026, 16:03:19</t>
  </si>
  <si>
    <t>Mapfre|15min-VelaMA1|202608241545</t>
  </si>
  <si>
    <t>Cruce alcista detectado en Mapfre (BME (Madrid)). La vela ha cruzado EMA 9 en 15 min. Nivel: Sin clasificar. Precio: 4.40. 24/8/2026, 16:03:20</t>
  </si>
  <si>
    <t>IAG|15min-VelaMA1|202608241545</t>
  </si>
  <si>
    <t>Cruce alcista detectado en IAG (BME (Madrid)). La vela ha cruzado EMA 9 en 15 min. Nivel: Sin clasificar. Precio: 5.04. 24/8/2026, 16:03:22</t>
  </si>
  <si>
    <t>Acerinox|15min-VelaMA1|202608241545</t>
  </si>
  <si>
    <t>Cruce alcista detectado en Acerinox (BME (Madrid)). La vela ha cruzado EMA 9 en 15 min. Nivel: Sin clasificar. Precio: 17.32. 24/8/2026, 16:03:23</t>
  </si>
  <si>
    <t>Acerinox|15min-MA1MA2|202608241545</t>
  </si>
  <si>
    <t>Cruce alcista detectado en Acerinox (BME (Madrid)). EMA 9 ha cruzado EMA 20 en 15 min. Nivel: 1. 24/8/2026, 16:03:23</t>
  </si>
  <si>
    <t>Bitcoin|15min-VelaMA1|202608241600</t>
  </si>
  <si>
    <t>Cruce alcista detectado en Bitcoin (Exchange Cripto). La vela ha cruzado EMA 9 en 15 min. Nivel: Sin clasificar. Precio: 78760.49. 24/8/2026, 16:03:23</t>
  </si>
  <si>
    <t>Ethereum|15min-VelaMA1|202608241600</t>
  </si>
  <si>
    <t>Cruce alcista detectado en Ethereum (Exchange Cripto). La vela ha cruzado EMA 9 en 15 min. Nivel: Sin clasificar. Precio: 2496.99. 24/8/2026, 16:03:24</t>
  </si>
  <si>
    <t>Solana|1h-VelaMA1|202608241600</t>
  </si>
  <si>
    <t>Cruce alcista detectado en Solana (Exchange Cripto). La vela ha cruzado EMA 9 en 1 hora. Nivel: Sin clasificar. Precio: 95.08. 24/8/2026, 16:03:24</t>
  </si>
  <si>
    <t>Dogecoin|15min-MA1MA2|202608241600</t>
  </si>
  <si>
    <t>Cruce bajista detectado en Dogecoin (Exchange Cripto). EMA 9 ha cruzado EMA 20 en 15 min. Nivel: 1. 24/8/2026, 16:03:25</t>
  </si>
  <si>
    <t>Cardano|1h-VelaMA1|202608241600</t>
  </si>
  <si>
    <t>Cruce alcista detectado en Cardano (Exchange Cripto). La vela ha cruzado EMA 9 en 1 hora. Nivel: Sin clasificar. Precio: 0.22. 24/8/2026, 16:03:25</t>
  </si>
  <si>
    <t>Plata (Futuro)|1h-VelaMA1|202608241500</t>
  </si>
  <si>
    <t>Cruce bajista detectado en Plata (Futuro) (COMEX). La vela ha cruzado EMA 9 en 1 hora. Nivel: Sin clasificar. Precio: 68.86. 24/8/2026, 16:03:26</t>
  </si>
  <si>
    <t>Dolar AUS / Dolar|15min-MA1MA2|202608241615</t>
  </si>
  <si>
    <t>Cruce bajista detectado en Dolar AUS / Dolar (OTC/Interbancario). EMA 9 ha cruzado EMA 20 en 15 min. Nivel: 1. 24/8/2026, 16:18:32</t>
  </si>
  <si>
    <t>Dolar AUS / Dolar|1h-MA1MA2|202608241600</t>
  </si>
  <si>
    <t>Cruce bajista detectado en Dolar AUS / Dolar (OTC/Interbancario). EMA 9 ha cruzado EMA 20 en 1 hora. Nivel: 1. 24/8/2026, 16:18:32</t>
  </si>
  <si>
    <t>Dolar NZ / Dolar|15min-VelaMA1|202608241615</t>
  </si>
  <si>
    <t>Cruce bajista detectado en Dolar NZ / Dolar (OTC/Interbancario). La vela ha cruzado EMA 9 en 15 min. Nivel: Sin clasificar. Precio: 0.60. 24/8/2026, 16:18:32</t>
  </si>
  <si>
    <t>Acerinox|1h-VelaMA1|202608241500</t>
  </si>
  <si>
    <t>Cruce bajista detectado en Acerinox (BME (Madrid)). La vela ha cruzado EMA 9 en 1 hora. Nivel: Sin clasificar. Precio: 17.22. 24/8/2026, 16:18:38</t>
  </si>
  <si>
    <t>Plata (Futuro)|1h-VelaMA1|202608241600</t>
  </si>
  <si>
    <t>Cruce alcista detectado en Plata (Futuro) (COMEX). La vela ha cruzado EMA 9 en 1 hora. Nivel: Sin clasificar. Precio: 69.02. 24/8/2026, 16:18:41</t>
  </si>
  <si>
    <t>Dolar NZ / Dolar|15min-VelaMA1|202608241630</t>
  </si>
  <si>
    <t>Cruce bajista detectado en Dolar NZ / Dolar (OTC/Interbancario). La vela ha cruzado EMA 9 en 15 min. Nivel: Sin clasificar. Precio: 0.60. 24/8/2026, 16:33:46</t>
  </si>
  <si>
    <t>Euro / Libra|1h-VelaMA1|202608241600</t>
  </si>
  <si>
    <t>Cruce alcista detectado en Euro / Libra (OTC/Interbancario). La vela ha cruzado EMA 9 en 1 hora. Nivel: Sin clasificar. Precio: 0.86. 24/8/2026, 16:33:47</t>
  </si>
  <si>
    <t>Acerinox|1h-MA1MA2|202608241600</t>
  </si>
  <si>
    <t>Cruce bajista detectado en Acerinox (BME (Madrid)). EMA 9 ha cruzado EMA 20 en 1 hora. Nivel: 1. 24/8/2026, 16:33:54</t>
  </si>
  <si>
    <t>Tether|15min-VelaMA1|202608241630</t>
  </si>
  <si>
    <t>Cruce alcista detectado en Tether (Exchange Cripto). La vela ha cruzado EMA 9 en 15 min. Nivel: Sin clasificar. Precio: 1.00. 24/8/2026, 16:33:55</t>
  </si>
  <si>
    <t>Dogecoin|15min-VelaMA1|202608241630</t>
  </si>
  <si>
    <t>Cruce alcista detectado en Dogecoin (Exchange Cripto). La vela ha cruzado EMA 9 en 15 min. Nivel: Sin clasificar. Precio: 0.09. 24/8/2026, 16:33:55</t>
  </si>
  <si>
    <t>Dogecoin|15min-MA1MA2|202608241630</t>
  </si>
  <si>
    <t>Cruce alcista detectado en Dogecoin (Exchange Cripto). EMA 9 ha cruzado EMA 20 en 15 min. Nivel: 1. 24/8/2026, 16:33:55</t>
  </si>
  <si>
    <t>Dogecoin|1h-VelaMA1|202608241600</t>
  </si>
  <si>
    <t>Cruce alcista detectado en Dogecoin (Exchange Cripto). La vela ha cruzado EMA 9 en 1 hora. Nivel: Sin clasificar. Precio: 0.09. 24/8/2026, 16:33:55</t>
  </si>
  <si>
    <t>Cardano|1h-MA1MA2|202608241600</t>
  </si>
  <si>
    <t>Cruce alcista detectado en Cardano (Exchange Cripto). EMA 9 ha cruzado EMA 20 en 1 hora. Nivel: 1. 24/8/2026, 16:33:56</t>
  </si>
  <si>
    <t>Litecoin|15min-VelaMA1|202608241630</t>
  </si>
  <si>
    <t>Cruce alcista detectado en Litecoin (Exchange Cripto). La vela ha cruzado EMA 9 en 15 min. Nivel: Sin clasificar. Precio: 52.60. 24/8/2026, 16:33:56</t>
  </si>
  <si>
    <t>Litecoin|1h-VelaMA1|202608241600</t>
  </si>
  <si>
    <t>Cruce alcista detectado en Litecoin (Exchange Cripto). La vela ha cruzado EMA 9 en 1 hora. Nivel: Sin clasificar. Precio: 52.60. 24/8/2026, 16:33:56</t>
  </si>
  <si>
    <t>Euro / Libra|15min-VelaMA1|202608241645</t>
  </si>
  <si>
    <t>Cruce alcista detectado en Euro / Libra (OTC/Interbancario). La vela ha cruzado EMA 9 en 15 min. Nivel: Sin clasificar. Precio: 0.86. 24/8/2026, 16:49:02</t>
  </si>
  <si>
    <t>Inditex|15min-VelaMA1|202608241630</t>
  </si>
  <si>
    <t>Cruce bajista detectado en Inditex (BME (Madrid)). La vela ha cruzado EMA 9 en 15 min. Nivel: Sin clasificar. Precio: 58.56. 24/8/2026, 16:49:03</t>
  </si>
  <si>
    <t>ArcelorMittal|15min-MA1MA2|202608241630</t>
  </si>
  <si>
    <t>Cruce alcista detectado en ArcelorMittal (BME (Madrid)). EMA 9 ha cruzado EMA 20 en 15 min. Nivel: 1. 24/8/2026, 16:49:05</t>
  </si>
  <si>
    <t>ArcelorMittal|1h-VelaMA1|202608241600</t>
  </si>
  <si>
    <t>Cruce alcista detectado en ArcelorMittal (BME (Madrid)). La vela ha cruzado EMA 9 en 1 hora. Nivel: Sin clasificar. Precio: 63.10. 24/8/2026, 16:49:06</t>
  </si>
  <si>
    <t>Aena|15min-VelaMA1|202608241630</t>
  </si>
  <si>
    <t>Cruce alcista detectado en Aena (BME (Madrid)). La vela ha cruzado EMA 9 en 15 min. Nivel: Sin clasificar. Precio: 27.18. 24/8/2026, 16:49:07</t>
  </si>
  <si>
    <t>Naturgy|15min-VelaMA1|202608241630</t>
  </si>
  <si>
    <t>Cruce alcista detectado en Naturgy (BME (Madrid)). La vela ha cruzado EMA 9 en 15 min. Nivel: Sin clasificar. Precio: 29.42. 24/8/2026, 16:49:07</t>
  </si>
  <si>
    <t>Acciona|15min-VelaMA1|202608241630</t>
  </si>
  <si>
    <t>Cruce alcista detectado en Acciona (BME (Madrid)). La vela ha cruzado EMA 9 en 15 min. Nivel: Sin clasificar. Precio: 209.20. 24/8/2026, 16:49:08</t>
  </si>
  <si>
    <t>Tether|15min-VelaMA1|202608241645</t>
  </si>
  <si>
    <t>Cruce bajista detectado en Tether (Exchange Cripto). La vela ha cruzado EMA 9 en 15 min. Nivel: Sin clasificar. Precio: 1.00. 24/8/2026, 16:49:12</t>
  </si>
  <si>
    <t>Litecoin|15min-VelaMA1|202608241645</t>
  </si>
  <si>
    <t>Cruce bajista detectado en Litecoin (Exchange Cripto). La vela ha cruzado EMA 9 en 15 min. Nivel: Sin clasificar. Precio: 52.57. 24/8/2026, 16:49:14</t>
  </si>
  <si>
    <t>Plata (Futuro)|15min-VelaMA1|202608241630</t>
  </si>
  <si>
    <t>Cruce alcista detectado en Plata (Futuro) (COMEX). La vela ha cruzado EMA 9 en 15 min. Nivel: Sin clasificar. Precio: 69.19. 24/8/2026, 16:49:14</t>
  </si>
  <si>
    <t>Plata (Futuro)|1h-MA1MA2|202608241600</t>
  </si>
  <si>
    <t>Cruce alcista detectado en Plata (Futuro) (COMEX). EMA 9 ha cruzado EMA 20 en 1 hora. Nivel: 1. 24/8/2026, 16:49:14</t>
  </si>
  <si>
    <t>Dolar / Franco|15min-VelaMA1|202608241700</t>
  </si>
  <si>
    <t>Cruce bajista detectado en Dolar / Franco (OTC/Interbancario). La vela ha cruzado EMA 9 en 15 min. Nivel: Sin clasificar. Precio: 0.80. 24/8/2026, 17:04:18</t>
  </si>
  <si>
    <t>Euro / Libra|1h-VelaMA1|202608241700</t>
  </si>
  <si>
    <t>Cruce bajista detectado en Euro / Libra (OTC/Interbancario). La vela ha cruzado EMA 9 en 1 hora. Nivel: Sin clasificar. Precio: 0.86. 24/8/2026, 17:04:19</t>
  </si>
  <si>
    <t>Tether|15min-VelaMA1|202608241700</t>
  </si>
  <si>
    <t>Cruce bajista detectado en Tether (Exchange Cripto). La vela ha cruzado EMA 9 en 15 min. Nivel: Sin clasificar. Precio: 1.00. 24/8/2026, 17:04:25</t>
  </si>
  <si>
    <t>Oro (Futuro)|15min-VelaMA1|202608241645</t>
  </si>
  <si>
    <t>Cruce bajista detectado en Oro (Futuro) (COMEX). La vela ha cruzado EMA 9 en 15 min. Nivel: Sin clasificar. Precio: 4722.10. 24/8/2026, 17:04:27</t>
  </si>
  <si>
    <t>Plata (Futuro)|15min-MA1MA2|202608241645</t>
  </si>
  <si>
    <t>Cruce bajista detectado en Plata (Futuro) (COMEX). EMA 9 ha cruzado EMA 20 en 15 min. Nivel: 1. 24/8/2026, 17:04:27</t>
  </si>
  <si>
    <t>Euro / Libra|15min-VelaMA1|202608241715</t>
  </si>
  <si>
    <t>Cruce alcista detectado en Euro / Libra (OTC/Interbancario). La vela ha cruzado EMA 9 en 15 min. Nivel: Sin clasificar. Precio: 0.86. 24/8/2026, 17:19:32</t>
  </si>
  <si>
    <t>Telefónica|1h-VelaMA1|202608241700</t>
  </si>
  <si>
    <t>Cruce alcista detectado en Telefónica (BME (Madrid)). La vela ha cruzado EMA 9 en 1 hora. Nivel: Sin clasificar. Precio: 3.65. 24/8/2026, 17:19:33</t>
  </si>
  <si>
    <t>ArcelorMittal|15min-VelaMA1|202608241700</t>
  </si>
  <si>
    <t>Cruce bajista detectado en ArcelorMittal (BME (Madrid)). La vela ha cruzado EMA 9 en 15 min. Nivel: Sin clasificar. Precio: 62.88. 24/8/2026, 17:19:34</t>
  </si>
  <si>
    <t>Naturgy|15min-MA1MA2|202608241700</t>
  </si>
  <si>
    <t>Cruce alcista detectado en Naturgy (BME (Madrid)). EMA 9 ha cruzado EMA 20 en 15 min. Nivel: 1. 24/8/2026, 17:19:35</t>
  </si>
  <si>
    <t>Acerinox|1h-MA1MA2|202608241700</t>
  </si>
  <si>
    <t>Cruce bajista detectado en Acerinox (BME (Madrid)). EMA 9 ha cruzado EMA 20 en 1 hora. Nivel: 1. 24/8/2026, 17:19:41</t>
  </si>
  <si>
    <t>Litecoin|15min-VelaMA1|202608241715</t>
  </si>
  <si>
    <t>Cruce alcista detectado en Litecoin (Exchange Cripto). La vela ha cruzado EMA 9 en 15 min. Nivel: Sin clasificar. Precio: 52.73. 24/8/2026, 17:19:42</t>
  </si>
  <si>
    <t>Plata (Futuro)|15min-VelaMA1|202608241700</t>
  </si>
  <si>
    <t>Cruce alcista detectado en Plata (Futuro) (COMEX). La vela ha cruzado EMA 9 en 15 min. Nivel: Sin clasificar. Precio: 69.14. 24/8/2026, 17:19:43</t>
  </si>
  <si>
    <t>Plata (Futuro)|1h-VelaMA1|202608241700</t>
  </si>
  <si>
    <t>Cruce alcista detectado en Plata (Futuro) (COMEX). La vela ha cruzado EMA 9 en 1 hora. Nivel: Sin clasificar. Precio: 69.14. 24/8/2026, 17:19:43</t>
  </si>
  <si>
    <t>Dolar / Franco|15min-VelaMA1|202608241730</t>
  </si>
  <si>
    <t>Cruce alcista detectado en Dolar / Franco (OTC/Interbancario). La vela ha cruzado EMA 9 en 15 min. Nivel: Sin clasificar. Precio: 0.80. 24/8/2026, 17:34:48</t>
  </si>
  <si>
    <t>ACS|15min-VelaMA1|202608241715</t>
  </si>
  <si>
    <t>Cruce bajista detectado en ACS (BME (Madrid)). La vela ha cruzado EMA 9 en 15 min. Nivel: Sin clasificar. Precio: 104.50. 24/8/2026, 17:34:51</t>
  </si>
  <si>
    <t>Naturgy|15min-MA1MA2|202608241715</t>
  </si>
  <si>
    <t>Cruce alcista detectado en Naturgy (BME (Madrid)). EMA 9 ha cruzado EMA 20 en 15 min. Nivel: 1. 24/8/2026, 17:34:53</t>
  </si>
  <si>
    <t>Tether|1h-VelaMA1|202608241700</t>
  </si>
  <si>
    <t>Cruce alcista detectado en Tether (Exchange Cripto). La vela ha cruzado EMA 9 en 1 hora. Nivel: Sin clasificar. Precio: 1.00. 24/8/2026, 17:34:56</t>
  </si>
  <si>
    <t>Dolar / Franco|15min-VelaMA1|202608241745</t>
  </si>
  <si>
    <t>Cruce bajista detectado en Dolar / Franco (OTC/Interbancario). La vela ha cruzado EMA 9 en 15 min. Nivel: Sin clasificar. Precio: 0.80. 24/8/2026, 17:50:03</t>
  </si>
  <si>
    <t>Dolar / Franco|15min-MA1MA2|202608241745</t>
  </si>
  <si>
    <t>Cruce bajista detectado en Dolar / Franco (OTC/Interbancario). EMA 9 ha cruzado EMA 20 en 15 min. Nivel: 1. 24/8/2026, 17:50:03</t>
  </si>
  <si>
    <t>Euro / Libra|15min-MA1MA2|202608241745</t>
  </si>
  <si>
    <t>Cruce alcista detectado en Euro / Libra (OTC/Interbancario). EMA 9 ha cruzado EMA 20 en 15 min. Nivel: 1. 24/8/2026, 17:50:04</t>
  </si>
  <si>
    <t>Dogecoin|15min-MA1MA2|202608241745</t>
  </si>
  <si>
    <t>Cruce bajista detectado en Dogecoin (Exchange Cripto). EMA 9 ha cruzado EMA 20 en 15 min. Nivel: 1. 24/8/2026, 17:50:16</t>
  </si>
  <si>
    <t>Dogecoin|1h-VelaMA1|202608241700</t>
  </si>
  <si>
    <t>Cruce bajista detectado en Dogecoin (Exchange Cripto). La vela ha cruzado EMA 9 en 1 hora. Nivel: Sin clasificar. Precio: 0.09. 24/8/2026, 17:50:16</t>
  </si>
  <si>
    <t>Litecoin|1h-VelaMA1|202608241700</t>
  </si>
  <si>
    <t>Cruce bajista detectado en Litecoin (Exchange Cripto). La vela ha cruzado EMA 9 en 1 hora. Nivel: Sin clasificar. Precio: 52.53. 24/8/2026, 17:50:17</t>
  </si>
  <si>
    <t>Oro (Futuro)|15min-VelaMA1|202608241730</t>
  </si>
  <si>
    <t>Cruce bajista detectado en Oro (Futuro) (COMEX). La vela ha cruzado EMA 9 en 15 min. Nivel: Sin clasificar. Precio: 4723.20. 24/8/2026, 17:50:17</t>
  </si>
  <si>
    <t>Plata (Futuro)|15min-VelaMA1|202608241730</t>
  </si>
  <si>
    <t>Cruce bajista detectado en Plata (Futuro) (COMEX). La vela ha cruzado EMA 9 en 15 min. Nivel: Sin clasificar. Precio: 68.94. 24/8/2026, 17:50:18</t>
  </si>
  <si>
    <t>Plata (Futuro)|15min-MA1MA2|202608241730</t>
  </si>
  <si>
    <t>Cruce bajista detectado en Plata (Futuro) (COMEX). EMA 9 ha cruzado EMA 20 en 15 min. Nivel: 1. 24/8/2026, 17:50:18</t>
  </si>
  <si>
    <t>Dolar / Franco|15min-VelaMA1|202608241800</t>
  </si>
  <si>
    <t>Cruce bajista detectado en Dolar / Franco (OTC/Interbancario). La vela ha cruzado EMA 9 en 15 min. Nivel: Sin clasificar. Precio: 0.80. 24/8/2026, 18:05:23</t>
  </si>
  <si>
    <t>Dolar / Franco|1h-VelaMA1|202608241800</t>
  </si>
  <si>
    <t>Cruce bajista detectado en Dolar / Franco (OTC/Interbancario). La vela ha cruzado EMA 9 en 1 hora. Nivel: Sin clasificar. Precio: 0.80. 24/8/2026, 18:05:23</t>
  </si>
  <si>
    <t>Banco Santander|15min-VelaMA1|202608241730</t>
  </si>
  <si>
    <t>Cruce bajista detectado en Banco Santander (BME (Madrid)). La vela ha cruzado EMA 9 en 15 min. Nivel: Sin clasificar. Precio: 12.70. 24/8/2026, 18:05:24</t>
  </si>
  <si>
    <t>Iberdrola|15min-MA1MA2|202608241730</t>
  </si>
  <si>
    <t>Cruce alcista detectado en Iberdrola (BME (Madrid)). EMA 9 ha cruzado EMA 20 en 15 min. Nivel: 1. 24/8/2026, 18:05:25</t>
  </si>
  <si>
    <t>Iberdrola|1h-VelaMA1|202608241700</t>
  </si>
  <si>
    <t>Cruce alcista detectado en Iberdrola (BME (Madrid)). La vela ha cruzado EMA 9 en 1 hora. Nivel: Sin clasificar. Precio: 20.03. 24/8/2026, 18:05:25</t>
  </si>
  <si>
    <t>Inditex|1h-VelaMA1|202608241700</t>
  </si>
  <si>
    <t>Cruce bajista detectado en Inditex (BME (Madrid)). La vela ha cruzado EMA 9 en 1 hora. Nivel: Sin clasificar. Precio: 58.42. 24/8/2026, 18:05:25</t>
  </si>
  <si>
    <t>ACS|15min-VelaMA1|202608241730</t>
  </si>
  <si>
    <t>Cruce alcista detectado en ACS (BME (Madrid)). La vela ha cruzado EMA 9 en 15 min. Nivel: Sin clasificar. Precio: 104.70. 24/8/2026, 18:05:27</t>
  </si>
  <si>
    <t>ArcelorMittal|15min-MA1MA2|202608241730</t>
  </si>
  <si>
    <t>Cruce bajista detectado en ArcelorMittal (BME (Madrid)). EMA 9 ha cruzado EMA 20 en 15 min. Nivel: 1. 24/8/2026, 18:05:27</t>
  </si>
  <si>
    <t>ArcelorMittal|1h-VelaMA1|202608241700</t>
  </si>
  <si>
    <t>Cruce bajista detectado en ArcelorMittal (BME (Madrid)). La vela ha cruzado EMA 9 en 1 hora. Nivel: Sin clasificar. Precio: 62.84. 24/8/2026, 18:05:28</t>
  </si>
  <si>
    <t>Bitcoin|15min-VelaMA1|202608241800</t>
  </si>
  <si>
    <t>Cruce alcista detectado en Bitcoin (Exchange Cripto). La vela ha cruzado EMA 9 en 15 min. Nivel: Sin clasificar. Precio: 79291.13. 24/8/2026, 18:05:33</t>
  </si>
  <si>
    <t>Tether|15min-MA1MA2|202608241800</t>
  </si>
  <si>
    <t>Cruce alcista detectado en Tether (Exchange Cripto). EMA 9 ha cruzado EMA 20 en 15 min. Nivel: 1. 24/8/2026, 18:05:34</t>
  </si>
  <si>
    <t>Cardano|1h-VelaMA1|202608241800</t>
  </si>
  <si>
    <t>Cruce alcista detectado en Cardano (Exchange Cripto). La vela ha cruzado EMA 9 en 1 hora. Nivel: Sin clasificar. Precio: 0.22. 24/8/2026, 18:05:35</t>
  </si>
  <si>
    <t>Litecoin|15min-VelaMA1|202608241800</t>
  </si>
  <si>
    <t>Cruce alcista detectado en Litecoin (Exchange Cripto). La vela ha cruzado EMA 9 en 15 min. Nivel: Sin clasificar. Precio: 52.60. 24/8/2026, 18:05:35</t>
  </si>
  <si>
    <t>Litecoin|1h-VelaMA1|202608241800</t>
  </si>
  <si>
    <t>Cruce alcista detectado en Litecoin (Exchange Cripto). La vela ha cruzado EMA 9 en 1 hora. Nivel: Sin clasificar. Precio: 52.60. 24/8/2026, 18:05:35</t>
  </si>
  <si>
    <t>Oro (Futuro)|1h-VelaMA1|202608241700</t>
  </si>
  <si>
    <t>Cruce bajista detectado en Oro (Futuro) (COMEX). La vela ha cruzado EMA 9 en 1 hora. Nivel: Sin clasificar. Precio: 4707.40. 24/8/2026, 18:05:36</t>
  </si>
  <si>
    <t>Dolar / Franco|15min-MA1MA2|202608241815</t>
  </si>
  <si>
    <t>Cruce bajista detectado en Dolar / Franco (OTC/Interbancario). EMA 9 ha cruzado EMA 20 en 15 min. Nivel: 1. 24/8/2026, 18:20:42</t>
  </si>
  <si>
    <t>Dogecoin|15min-VelaMA1|202608241815</t>
  </si>
  <si>
    <t>Cruce alcista detectado en Dogecoin (Exchange Cripto). La vela ha cruzado EMA 9 en 15 min. Nivel: Sin clasificar. Precio: 0.09. 24/8/2026, 18:20:51</t>
  </si>
  <si>
    <t>Dogecoin|15min-MA1MA2|202608241815</t>
  </si>
  <si>
    <t>Cruce alcista detectado en Dogecoin (Exchange Cripto). EMA 9 ha cruzado EMA 20 en 15 min. Nivel: 1. 24/8/2026, 18:20:51</t>
  </si>
  <si>
    <t>Dogecoin|1h-VelaMA1|202608241800</t>
  </si>
  <si>
    <t>Cruce alcista detectado en Dogecoin (Exchange Cripto). La vela ha cruzado EMA 9 en 1 hora. Nivel: Sin clasificar. Precio: 0.09. 24/8/2026, 18:20:51</t>
  </si>
  <si>
    <t>Cardano|1h-MA1MA2|202608241800</t>
  </si>
  <si>
    <t>Cruce alcista detectado en Cardano (Exchange Cripto). EMA 9 ha cruzado EMA 20 en 1 hora. Nivel: 1. 24/8/2026, 18:20:52</t>
  </si>
  <si>
    <t>Litecoin|15min-VelaMA1|202608241815</t>
  </si>
  <si>
    <t>Cruce alcista detectado en Litecoin (Exchange Cripto). La vela ha cruzado EMA 9 en 15 min. Nivel: Sin clasificar. Precio: 52.62. 24/8/2026, 18:20:52</t>
  </si>
  <si>
    <t>Oro (Futuro)|1h-VelaMA1|202608241800</t>
  </si>
  <si>
    <t>Cruce alcista detectado en Oro (Futuro) (COMEX). La vela ha cruzado EMA 9 en 1 hora. Nivel: Sin clasificar. Precio: 4712.40. 24/8/2026, 18:20:52</t>
  </si>
  <si>
    <t>Euro / Libra|1h-VelaMA1|202608241800</t>
  </si>
  <si>
    <t>Cruce bajista detectado en Euro / Libra (OTC/Interbancario). La vela ha cruzado EMA 9 en 1 hora. Nivel: Sin clasificar. Precio: 0.86. 24/8/2026, 18:35:58</t>
  </si>
  <si>
    <t>Euro / Libra|15min-VelaMA1|202608241845</t>
  </si>
  <si>
    <t>Cruce alcista detectado en Euro / Libra (OTC/Interbancario). La vela ha cruzado EMA 9 en 15 min. Nivel: Sin clasificar. Precio: 0.86. 24/8/2026, 18:51:11</t>
  </si>
  <si>
    <t>Solana|15min-VelaMA1|202608241845</t>
  </si>
  <si>
    <t>Cruce bajista detectado en Solana (Exchange Cripto). La vela ha cruzado EMA 9 en 15 min. Nivel: Sin clasificar. Precio: 96.45. 24/8/2026, 18:51:20</t>
  </si>
  <si>
    <t>Cardano|15min-MA1MA2|202608241900</t>
  </si>
  <si>
    <t>Cruce bajista detectado en Cardano (Exchange Cripto). EMA 9 ha cruzado EMA 20 en 15 min. Nivel: 1. 24/8/2026, 19:06:32</t>
  </si>
  <si>
    <t>Oro (Futuro)|15min-MA1MA2|202608241845</t>
  </si>
  <si>
    <t>Cruce bajista detectado en Oro (Futuro) (COMEX). EMA 9 ha cruzado EMA 20 en 15 min. Nivel: 1. 24/8/2026, 19:06:32</t>
  </si>
  <si>
    <t>Euro / Libra|15min-MA1MA2|202608241915</t>
  </si>
  <si>
    <t>Cruce bajista detectado en Euro / Libra (OTC/Interbancario). EMA 9 ha cruzado EMA 20 en 15 min. Nivel: 1. 24/8/2026, 19:21:37</t>
  </si>
  <si>
    <t>Solana|1h-VelaMA1|202608241900</t>
  </si>
  <si>
    <t>Cruce bajista detectado en Solana (Exchange Cripto). La vela ha cruzado EMA 9 en 1 hora. Nivel: Sin clasificar. Precio: 95.45. 24/8/2026, 19:21:42</t>
  </si>
  <si>
    <t>Ripple|15min-MA1MA2|202608241915</t>
  </si>
  <si>
    <t>Cruce bajista detectado en Ripple (Exchange Cripto). EMA 9 ha cruzado EMA 20 en 15 min. Nivel: 1. 24/8/2026, 19:21:42</t>
  </si>
  <si>
    <t>Ripple|1h-VelaMA1|202608241900</t>
  </si>
  <si>
    <t>Cruce bajista detectado en Ripple (Exchange Cripto). La vela ha cruzado EMA 9 en 1 hora. Nivel: Sin clasificar. Precio: 1.48. 24/8/2026, 19:21:42</t>
  </si>
  <si>
    <t>Oro (Futuro)|1h-VelaMA1|202608241900</t>
  </si>
  <si>
    <t>Cruce alcista detectado en Oro (Futuro) (COMEX). La vela ha cruzado EMA 9 en 1 hora. Nivel: Sin clasificar. Precio: 4709.90. 24/8/2026, 19:21:43</t>
  </si>
  <si>
    <t>Plata (Futuro)|15min-VelaMA1|202608241900</t>
  </si>
  <si>
    <t>Cruce alcista detectado en Plata (Futuro) (COMEX). La vela ha cruzado EMA 9 en 15 min. Nivel: Sin clasificar. Precio: 68.86. 24/8/2026, 19:21:43</t>
  </si>
  <si>
    <t>Solana|15min-MA1MA2|202608241930</t>
  </si>
  <si>
    <t>Cruce bajista detectado en Solana (Exchange Cripto). EMA 9 ha cruzado EMA 20 en 15 min. Nivel: 1. 24/8/2026, 19:37:00</t>
  </si>
  <si>
    <t>Dolar AUS / Dolar|15min-VelaMA1|202608242015</t>
  </si>
  <si>
    <t>Cruce alcista detectado en Dolar AUS / Dolar (OTC/Interbancario). La vela ha cruzado EMA 9 en 15 min. Nivel: Sin clasificar. Precio: 0.71. 24/8/2026, 20:17:47</t>
  </si>
  <si>
    <t>Dolar NZ / Dolar|15min-VelaMA1|202608242015</t>
  </si>
  <si>
    <t>Cruce alcista detectado en Dolar NZ / Dolar (OTC/Interbancario). La vela ha cruzado EMA 9 en 15 min. Nivel: Sin clasificar. Precio: 0.60. 24/8/2026, 20:17:47</t>
  </si>
  <si>
    <t>Ethereum|1h-VelaMA1|202608242000</t>
  </si>
  <si>
    <t>Cruce alcista detectado en Ethereum (Exchange Cripto). La vela ha cruzado EMA 9 en 1 hora. Nivel: Sin clasificar. Precio: 2481.10. 24/8/2026, 20:17:52</t>
  </si>
  <si>
    <t>Tether|15min-VelaMA1|202608242015</t>
  </si>
  <si>
    <t>Cruce alcista detectado en Tether (Exchange Cripto). La vela ha cruzado EMA 9 en 15 min. Nivel: Sin clasificar. Precio: 1.00. 24/8/2026, 20:17:52</t>
  </si>
  <si>
    <t>Solana|1h-VelaMA1|202608242000</t>
  </si>
  <si>
    <t>Cruce alcista detectado en Solana (Exchange Cripto). La vela ha cruzado EMA 9 en 1 hora. Nivel: Sin clasificar. Precio: 96.17. 24/8/2026, 20:17:52</t>
  </si>
  <si>
    <t>Ripple|15min-VelaMA1|202608242015</t>
  </si>
  <si>
    <t>Cruce alcista detectado en Ripple (Exchange Cripto). La vela ha cruzado EMA 9 en 15 min. Nivel: Sin clasificar. Precio: 1.49. 24/8/2026, 20:17:52</t>
  </si>
  <si>
    <t>Litecoin|1h-MA1MA2|202608242000</t>
  </si>
  <si>
    <t>Cruce bajista detectado en Litecoin (Exchange Cripto). EMA 9 ha cruzado EMA 20 en 1 hora. Nivel: 1. 24/8/2026, 20:17:53</t>
  </si>
  <si>
    <t>Tether|1h-MA1MA2|202608242000</t>
  </si>
  <si>
    <t>Cruce alcista detectado en Tether (Exchange Cripto). EMA 9 ha cruzado EMA 20 en 1 hora. Nivel: 1. 24/8/2026, 20:33:07</t>
  </si>
  <si>
    <t>Solana|15min-MA1MA2|202608242030</t>
  </si>
  <si>
    <t>Cruce alcista detectado en Solana (Exchange Cripto). EMA 9 ha cruzado EMA 20 en 15 min. Nivel: 1. 24/8/2026, 20:33:07</t>
  </si>
  <si>
    <t>Ripple|15min-VelaMA1|202608242030</t>
  </si>
  <si>
    <t>Cruce alcista detectado en Ripple (Exchange Cripto). La vela ha cruzado EMA 9 en 15 min. Nivel: Sin clasificar. Precio: 1.49. 24/8/2026, 20:33:08</t>
  </si>
  <si>
    <t>Litecoin|15min-VelaMA1|202608242030</t>
  </si>
  <si>
    <t>Cruce alcista detectado en Litecoin (Exchange Cripto). La vela ha cruzado EMA 9 en 15 min. Nivel: Sin clasificar. Precio: 52.12. 24/8/2026, 20:33:09</t>
  </si>
  <si>
    <t>Plata (Futuro)|15min-VelaMA1|202608242015</t>
  </si>
  <si>
    <t>Cruce alcista detectado en Plata (Futuro) (COMEX). La vela ha cruzado EMA 9 en 15 min. Nivel: Sin clasificar. Precio: 68.63. 24/8/2026, 20:33:10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</si>
</sst>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harset val="1"/>
      <color rgb="FF1F3864"/>
      <sz val="16"/>
      <name val="Arial"/>
    </font>
    <font>
      <charset val="1"/>
      <sz val="10"/>
      <name val="Arial"/>
    </font>
    <font>
      <b/>
      <charset val="1"/>
      <sz val="10"/>
      <name val="Arial"/>
    </font>
    <font>
      <b/>
      <charset val="1"/>
      <color rgb="FF1F3864"/>
      <sz val="14"/>
      <name val="Arial"/>
    </font>
    <font>
      <i/>
      <charset val="1"/>
      <color rgb="FF808080"/>
      <sz val="9"/>
      <name val="Arial"/>
    </font>
    <font>
      <b/>
      <charset val="1"/>
      <color rgb="FF1F3864"/>
      <sz val="10"/>
      <name val="Arial"/>
    </font>
    <font>
      <charset val="1"/>
      <color rgb="FF000000"/>
      <sz val="10"/>
      <name val="Arial"/>
    </font>
    <font>
      <charset val="1"/>
      <color rgb="FF0000FF"/>
      <sz val="10"/>
      <name val="Arial"/>
    </font>
    <font>
      <b/>
      <charset val="1"/>
      <color rgb="FFFFFFFF"/>
      <sz val="10"/>
      <name val="Arial"/>
    </font>
    <font>
      <charset val="1"/>
      <color rgb="FF008000"/>
      <sz val="10"/>
      <name val="Arial"/>
    </font>
    <font>
      <b/>
      <charset val="1"/>
      <color rgb="FF1F3864"/>
      <sz val="12"/>
      <name val="Arial"/>
    </font>
    <font>
      <charset val="1"/>
      <color theme="1"/>
      <family val="2"/>
      <sz val="11"/>
      <name val="Calibri"/>
    </font>
    <font>
      <color rgb="FF0000FF"/>
      <family val="2"/>
      <sz val="10"/>
      <name val="Arial"/>
    </font>
    <font>
      <color rgb="FF0000FF"/>
      <sz val="10"/>
      <name val="Arial"/>
    </font>
    <font>
      <b/>
      <charset val="1"/>
      <color rgb="FF1F3864"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0" fontId="8" fillId="3" borderId="1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8" fillId="0" borderId="1" xfId="0" applyFont="1" applyBorder="1"/>
    <xf numFmtId="10" fontId="8" fillId="0" borderId="1" xfId="0" applyNumberFormat="1" applyFont="1" applyBorder="1"/>
    <xf numFmtId="0" fontId="11" fillId="0" borderId="0" xfId="0" applyFont="1"/>
    <xf numFmtId="0" fontId="12" fillId="3" borderId="1" xfId="0" applyFont="1" applyFill="1" applyBorder="1"/>
    <xf numFmtId="0" fontId="13" fillId="0" borderId="1" xfId="0" applyFont="1" applyBorder="1"/>
    <xf numFmtId="0" fontId="14" fillId="0" borderId="0" xfId="0" applyFont="1"/>
    <xf numFmtId="0" fontId="15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7"/>
  <sheetViews>
    <sheetView workbookViewId="0" showGridLines="0" zoomScale="100" zoomScaleNormal="100">
      <selection activeCell="B21" sqref="B21"/>
    </sheetView>
  </sheetViews>
  <sheetFormatPr defaultRowHeight="15" outlineLevelRow="0" outlineLevelCol="0" x14ac:dyDescent="0" defaultColWidth="8.7109375"/>
  <cols>
    <col min="1" max="1" width="3" customWidth="1"/>
    <col min="2" max="2" width="100" customWidth="1"/>
  </cols>
  <sheetData>
    <row r="2" ht="20.25" customHeight="1" spans="2:2" x14ac:dyDescent="0.25">
      <c r="B2" s="1" t="s">
        <v>0</v>
      </c>
    </row>
    <row r="3" spans="2:2" x14ac:dyDescent="0.25">
      <c r="B3" s="2"/>
    </row>
    <row r="4" spans="2:2" x14ac:dyDescent="0.25">
      <c r="B4" s="2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7" spans="2:2" x14ac:dyDescent="0.25">
      <c r="B7" s="2"/>
    </row>
    <row r="8" spans="2:2" x14ac:dyDescent="0.25">
      <c r="B8" s="3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/>
    </row>
    <row r="14" spans="2:2" x14ac:dyDescent="0.25">
      <c r="B14" s="3" t="s">
        <v>9</v>
      </c>
    </row>
    <row r="15" spans="2:2" x14ac:dyDescent="0.25">
      <c r="B15" s="2" t="s">
        <v>10</v>
      </c>
    </row>
    <row r="16" spans="2:2" x14ac:dyDescent="0.25">
      <c r="B16" s="2" t="s">
        <v>11</v>
      </c>
    </row>
    <row r="17" spans="2:2" x14ac:dyDescent="0.25">
      <c r="B17" s="2" t="s">
        <v>12</v>
      </c>
    </row>
    <row r="18" spans="2:2" x14ac:dyDescent="0.25">
      <c r="B18" s="2" t="s">
        <v>13</v>
      </c>
    </row>
    <row r="19" spans="2:2" x14ac:dyDescent="0.25">
      <c r="B19" s="2" t="s">
        <v>14</v>
      </c>
    </row>
    <row r="20" spans="2:2" x14ac:dyDescent="0.25">
      <c r="B20" s="2"/>
    </row>
    <row r="21" spans="2:2" x14ac:dyDescent="0.25">
      <c r="B21" s="3" t="s">
        <v>15</v>
      </c>
    </row>
    <row r="22" spans="2:2" x14ac:dyDescent="0.25">
      <c r="B22" s="2" t="s">
        <v>16</v>
      </c>
    </row>
    <row r="23" spans="2:2" x14ac:dyDescent="0.25">
      <c r="B23" s="2" t="s">
        <v>17</v>
      </c>
    </row>
    <row r="24" spans="2:2" x14ac:dyDescent="0.25">
      <c r="B24" s="2" t="s">
        <v>18</v>
      </c>
    </row>
    <row r="25" spans="2:2" x14ac:dyDescent="0.25">
      <c r="B25" s="2" t="s">
        <v>19</v>
      </c>
    </row>
    <row r="26" spans="2:2" x14ac:dyDescent="0.25">
      <c r="B26" s="2" t="s">
        <v>20</v>
      </c>
    </row>
    <row r="27" spans="2:2" x14ac:dyDescent="0.25">
      <c r="B27" s="2" t="s">
        <v>21</v>
      </c>
    </row>
    <row r="28" spans="2:2" x14ac:dyDescent="0.25">
      <c r="B28" s="2" t="s">
        <v>22</v>
      </c>
    </row>
    <row r="29" spans="2:2" x14ac:dyDescent="0.25">
      <c r="B29" s="2"/>
    </row>
    <row r="30" spans="2:2" x14ac:dyDescent="0.25">
      <c r="B30" s="3" t="s">
        <v>23</v>
      </c>
    </row>
    <row r="31" spans="2:2" x14ac:dyDescent="0.25">
      <c r="B31" s="2" t="s">
        <v>24</v>
      </c>
    </row>
    <row r="32" spans="2:2" x14ac:dyDescent="0.25">
      <c r="B32" s="2" t="s">
        <v>25</v>
      </c>
    </row>
    <row r="33" spans="2:2" x14ac:dyDescent="0.25">
      <c r="B33" s="2" t="s">
        <v>26</v>
      </c>
    </row>
    <row r="34" spans="2:2" x14ac:dyDescent="0.25">
      <c r="B34" s="2" t="s">
        <v>27</v>
      </c>
    </row>
    <row r="35" spans="2:2" x14ac:dyDescent="0.25">
      <c r="B35" s="2"/>
    </row>
    <row r="36" spans="2:2" x14ac:dyDescent="0.25">
      <c r="B36" s="3" t="s">
        <v>28</v>
      </c>
    </row>
    <row r="37" spans="2:2" x14ac:dyDescent="0.25">
      <c r="B37" s="2" t="s">
        <v>29</v>
      </c>
    </row>
    <row r="38" spans="2:2" x14ac:dyDescent="0.25">
      <c r="B38" s="2" t="s">
        <v>30</v>
      </c>
    </row>
    <row r="39" spans="2:2" x14ac:dyDescent="0.25">
      <c r="B39" s="2" t="s">
        <v>31</v>
      </c>
    </row>
    <row r="40" spans="2:2" x14ac:dyDescent="0.25">
      <c r="B40" s="2" t="s">
        <v>32</v>
      </c>
    </row>
    <row r="41" spans="2:2" x14ac:dyDescent="0.25">
      <c r="B41" s="2" t="s">
        <v>33</v>
      </c>
    </row>
    <row r="42" spans="2:2" x14ac:dyDescent="0.25">
      <c r="B42" s="2" t="s">
        <v>34</v>
      </c>
    </row>
    <row r="43" spans="2:2" x14ac:dyDescent="0.25">
      <c r="B43" s="2"/>
    </row>
    <row r="44" spans="2:2" x14ac:dyDescent="0.25">
      <c r="B44" s="3" t="s">
        <v>35</v>
      </c>
    </row>
    <row r="45" spans="2:2" x14ac:dyDescent="0.25">
      <c r="B45" s="2" t="s">
        <v>36</v>
      </c>
    </row>
    <row r="46" spans="2:2" x14ac:dyDescent="0.25">
      <c r="B46" s="2" t="s">
        <v>37</v>
      </c>
    </row>
    <row r="47" spans="2:2" x14ac:dyDescent="0.25">
      <c r="B47" s="2" t="s">
        <v>38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129"/>
  <sheetViews>
    <sheetView workbookViewId="0" showGridLines="0" zoomScale="100" zoomScaleNormal="100">
      <pane xSplit="2" ySplit="11" topLeftCell="C12" activePane="bottomRight" state="frozen"/>
      <selection pane="bottomRight" activeCell="G12" sqref="G12"/>
    </sheetView>
  </sheetViews>
  <sheetFormatPr defaultRowHeight="15" outlineLevelRow="0" outlineLevelCol="0" x14ac:dyDescent="0" defaultColWidth="8.7109375"/>
  <cols>
    <col min="1" max="1" width="4" customWidth="1"/>
    <col min="2" max="2" width="22" customWidth="1"/>
    <col min="3" max="4" width="16" customWidth="1"/>
    <col min="5" max="37" width="14" customWidth="1"/>
    <col min="38" max="38" width="60" customWidth="1"/>
    <col min="39" max="39" width="30" customWidth="1"/>
  </cols>
  <sheetData>
    <row r="2" ht="18" customHeight="1" spans="2:2" x14ac:dyDescent="0.25">
      <c r="B2" s="4" t="s">
        <v>39</v>
      </c>
    </row>
    <row r="3" spans="2:2" x14ac:dyDescent="0.25">
      <c r="B3" s="5" t="s">
        <v>40</v>
      </c>
    </row>
    <row r="4" spans="2:5" x14ac:dyDescent="0.25">
      <c r="B4" s="6" t="s">
        <v>41</v>
      </c>
      <c r="C4" s="6" t="s">
        <v>42</v>
      </c>
      <c r="D4" s="6" t="s">
        <v>43</v>
      </c>
      <c r="E4" s="6" t="s">
        <v>44</v>
      </c>
    </row>
    <row r="5" spans="2:5" x14ac:dyDescent="0.25">
      <c r="B5" s="7" t="s">
        <v>45</v>
      </c>
      <c r="C5" s="8" t="s">
        <v>46</v>
      </c>
      <c r="D5" s="8">
        <v>9</v>
      </c>
      <c r="E5" s="7" t="str">
        <f>C5&amp;" "&amp;D5</f>
        <v>EMA 9</v>
      </c>
    </row>
    <row r="6" spans="2:5" x14ac:dyDescent="0.25">
      <c r="B6" s="7" t="s">
        <v>47</v>
      </c>
      <c r="C6" s="8" t="s">
        <v>46</v>
      </c>
      <c r="D6" s="8">
        <v>20</v>
      </c>
      <c r="E6" s="7" t="str">
        <f>C6&amp;" "&amp;D6</f>
        <v>EMA 20</v>
      </c>
    </row>
    <row r="7" spans="2:5" x14ac:dyDescent="0.25">
      <c r="B7" s="7" t="s">
        <v>48</v>
      </c>
      <c r="C7" s="8" t="s">
        <v>46</v>
      </c>
      <c r="D7" s="8">
        <v>50</v>
      </c>
      <c r="E7" s="7" t="str">
        <f>C7&amp;" "&amp;D7</f>
        <v>EMA 50</v>
      </c>
    </row>
    <row r="8" spans="2:5" x14ac:dyDescent="0.25">
      <c r="B8" s="7" t="s">
        <v>49</v>
      </c>
      <c r="C8" s="8" t="s">
        <v>46</v>
      </c>
      <c r="D8" s="8">
        <v>150</v>
      </c>
      <c r="E8" s="7" t="str">
        <f>C8&amp;" "&amp;D8</f>
        <v>EMA 150</v>
      </c>
    </row>
    <row r="11" ht="33.75" customHeight="1" spans="1:39" x14ac:dyDescent="0.25">
      <c r="A11" s="9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58</v>
      </c>
      <c r="J11" s="9" t="s">
        <v>59</v>
      </c>
      <c r="K11" s="9" t="s">
        <v>60</v>
      </c>
      <c r="L11" s="9" t="s">
        <v>61</v>
      </c>
      <c r="M11" s="9" t="s">
        <v>62</v>
      </c>
      <c r="N11" s="9" t="s">
        <v>63</v>
      </c>
      <c r="O11" s="9" t="s">
        <v>64</v>
      </c>
      <c r="P11" s="9" t="s">
        <v>65</v>
      </c>
      <c r="Q11" s="9" t="s">
        <v>66</v>
      </c>
      <c r="R11" s="9" t="s">
        <v>67</v>
      </c>
      <c r="S11" s="9" t="s">
        <v>68</v>
      </c>
      <c r="T11" s="9" t="s">
        <v>69</v>
      </c>
      <c r="U11" s="9" t="s">
        <v>70</v>
      </c>
      <c r="V11" s="9" t="s">
        <v>71</v>
      </c>
      <c r="W11" s="9" t="s">
        <v>72</v>
      </c>
      <c r="X11" s="9" t="s">
        <v>73</v>
      </c>
      <c r="Y11" s="9" t="s">
        <v>74</v>
      </c>
      <c r="Z11" s="9" t="s">
        <v>75</v>
      </c>
      <c r="AA11" s="9" t="s">
        <v>76</v>
      </c>
      <c r="AB11" s="9" t="s">
        <v>77</v>
      </c>
      <c r="AC11" s="9" t="s">
        <v>78</v>
      </c>
      <c r="AD11" s="9" t="s">
        <v>79</v>
      </c>
      <c r="AE11" s="9" t="s">
        <v>80</v>
      </c>
      <c r="AF11" s="9" t="s">
        <v>81</v>
      </c>
      <c r="AG11" s="9" t="s">
        <v>82</v>
      </c>
      <c r="AH11" s="9" t="s">
        <v>83</v>
      </c>
      <c r="AI11" s="9" t="s">
        <v>84</v>
      </c>
      <c r="AJ11" s="9" t="s">
        <v>85</v>
      </c>
      <c r="AK11" s="9" t="s">
        <v>86</v>
      </c>
      <c r="AL11" s="9" t="s">
        <v>87</v>
      </c>
      <c r="AM11" s="9" t="s">
        <v>88</v>
      </c>
    </row>
    <row r="12" spans="1:39" x14ac:dyDescent="0.25">
      <c r="A12" s="7">
        <v>1</v>
      </c>
      <c r="B12" s="8" t="s">
        <v>89</v>
      </c>
      <c r="C12" s="10" t="str">
        <f>IFERROR(INDEX(Universo_Activos!$A$3:$A$1022,MATCH(B12,Universo_Activos!$C$3:$C$1022,0)),"")</f>
        <v>Forex</v>
      </c>
      <c r="D12" s="10" t="str">
        <f>IFERROR(INDEX(Universo_Activos!$B$3:$B$1022,MATCH(B12,Universo_Activos!$C$3:$C$1022,0)),"")</f>
        <v>OTC/Interbancario</v>
      </c>
      <c r="E12" s="10" t="str">
        <f>IFERROR(INDEX(Universo_Activos!$D$3:$D$1022,MATCH(B12,Universo_Activos!$C$3:$C$1022,0)),"")</f>
        <v>EURUSD</v>
      </c>
      <c r="F12" s="10" t="str">
        <f>IFERROR(INDEX(Universo_Activos!$E$3:$E$1022,MATCH(B12,Universo_Activos!$C$3:$C$1022,0)),"")</f>
        <v>N/A (par de divisas, sin ISIN)</v>
      </c>
      <c r="G12" s="11">
        <v>146.67</v>
      </c>
      <c r="H12" s="12">
        <v>0.0096</v>
      </c>
      <c r="I12" s="12">
        <v>0.0679</v>
      </c>
      <c r="J12" s="12">
        <v>-0.0055</v>
      </c>
      <c r="K12" s="12">
        <v>0.0013</v>
      </c>
      <c r="L12" s="12">
        <v>0.014</v>
      </c>
      <c r="M12" s="11">
        <v>56.46</v>
      </c>
      <c r="N12" s="11">
        <v>56.18</v>
      </c>
      <c r="O12" s="11">
        <v>56.16140087413097</v>
      </c>
      <c r="P12" s="11">
        <v>56.08675109266371</v>
      </c>
      <c r="Q12" s="11">
        <v>56.056456538061624</v>
      </c>
      <c r="R12" s="11">
        <v>56.013978278910216</v>
      </c>
      <c r="S12" s="11">
        <v>56.00697452281864</v>
      </c>
      <c r="T12" s="11">
        <v>55.98848368701532</v>
      </c>
      <c r="U12" s="11">
        <v>55.55353203362553</v>
      </c>
      <c r="V12" s="11">
        <v>55.54136467837218</v>
      </c>
      <c r="W12" s="7">
        <f t="shared" ref="W12:W111" si="0">IF(AND(N12&lt;=P12,M12&gt;O12),"ALCISTA",IF(AND(N12&gt;=P12,M12&lt;O12),"BAJISTA",""))</f>
      </c>
      <c r="X12" s="7">
        <f t="shared" ref="X12:X111" si="1">IF(AND(P12&lt;=R12,O12&gt;Q12),"ALCISTA",IF(AND(P12&gt;=R12,O12&lt;Q12),"BAJISTA",""))</f>
      </c>
      <c r="Y12" s="11">
        <v>56.46</v>
      </c>
      <c r="Z12" s="11">
        <v>56.02</v>
      </c>
      <c r="AA12" s="11">
        <v>56.09682643901197</v>
      </c>
      <c r="AB12" s="11">
        <v>56.00603304876496</v>
      </c>
      <c r="AC12" s="11">
        <v>55.95711429721635</v>
      </c>
      <c r="AD12" s="11">
        <v>55.90417896008123</v>
      </c>
      <c r="AE12" s="11">
        <v>55.41281726710895</v>
      </c>
      <c r="AF12" s="11">
        <v>55.37007511474605</v>
      </c>
      <c r="AG12" s="11">
        <v>54.98329045590584</v>
      </c>
      <c r="AH12" s="11">
        <v>54.963468851287125</v>
      </c>
      <c r="AI12" s="7">
        <f t="shared" ref="AI12:AI111" si="2">IF(AND(Z12&lt;=AB12,Y12&gt;AA12),"ALCISTA",IF(AND(Z12&gt;=AB12,Y12&lt;AA12),"BAJISTA",""))</f>
      </c>
      <c r="AJ12" s="7">
        <f t="shared" ref="AJ12:AJ111" si="3">IF(AND(AB12&lt;=AD12,AA12&gt;AC12),"ALCISTA",IF(AND(AB12&gt;=AD12,AA12&lt;AC12),"BAJISTA",""))</f>
      </c>
      <c r="AK12" s="7">
        <f>IF(W12&lt;&gt;"",IFERROR(INDEX(Niveles_Importancia!$A$3:$A$30,MATCH("Vela|"&amp;$E$5&amp;"|15 min",Niveles_Importancia!$H$3:$H$30,0)),"Sin clasificar"),IF(X12&lt;&gt;"",IFERROR(INDEX(Niveles_Importancia!$A$3:$A$30,MATCH($E$5&amp;"|"&amp;$E$6&amp;"|15 min",Niveles_Importancia!$H$3:$H$30,0)),"Sin clasificar"),IF(AI12&lt;&gt;"",IFERROR(INDEX(Niveles_Importancia!$A$3:$A$30,MATCH("Vela|"&amp;$E$5&amp;"|1 hora",Niveles_Importancia!$H$3:$H$30,0)),"Sin clasificar"),IF(AJ12&lt;&gt;"",IFERROR(INDEX(Niveles_Importancia!$A$3:$A$30,MATCH($E$5&amp;"|"&amp;$E$6&amp;"|1 hora",Niveles_Importancia!$H$3:$H$30,0)),"Sin clasificar"),""))))</f>
      </c>
      <c r="AL12" s="7">
        <f t="shared" ref="AL12:AL111" si="4">IF(W12&lt;&gt;"","Cruce "&amp;LOWER(W12)&amp;" detectado en "&amp;B12&amp;" ("&amp;D12&amp;"). La vela ha cruzado "&amp;$E$5&amp;" en 15 min. Nivel: "&amp;AK12&amp;". Precio: "&amp;TEXT(M12,"0.00")&amp;". "&amp;TEXT(NOW(),"dd/mm/yyyy hh:mm"),IF(X12&lt;&gt;"","Cruce "&amp;LOWER(X12)&amp;" detectado en "&amp;B12&amp;" ("&amp;D12&amp;"). "&amp;$E$5&amp;" ha cruzado "&amp;$E$6&amp;" en 15 min. Nivel: "&amp;AK12&amp;". "&amp;TEXT(NOW(),"dd/mm/yyyy hh:mm"),IF(AI12&lt;&gt;"","Cruce "&amp;LOWER(AI12)&amp;" detectado en "&amp;B12&amp;" ("&amp;D12&amp;"). La vela ha cruzado "&amp;$E$5&amp;" en 1 hora. Nivel: "&amp;AK12&amp;". "&amp;TEXT(NOW(),"dd/mm/yyyy hh:mm"),IF(AJ12&lt;&gt;"","Cruce "&amp;LOWER(AJ12)&amp;" detectado en "&amp;B12&amp;" ("&amp;D12&amp;"). "&amp;$E$5&amp;" ha cruzado "&amp;$E$6&amp;" en 1 hora. Nivel: "&amp;AK12&amp;". "&amp;TEXT(NOW(),"dd/mm/yyyy hh:mm"),""))))</f>
      </c>
      <c r="AM12" s="7">
        <f t="shared" ref="AM12:AM111" si="5">IF(AL12="","",B12&amp;"|"&amp;IF(W12&lt;&gt;"","15min-VelaMA1",IF(X12&lt;&gt;"","15min-MA1MA2",IF(AI12&lt;&gt;"","1h-VelaMA1","1h-MA1MA2")))&amp;"|"&amp;TEXT(NOW(),"yyyymmddhhmm"))</f>
      </c>
    </row>
    <row r="13" spans="1:39" x14ac:dyDescent="0.25">
      <c r="A13" s="7">
        <v>2</v>
      </c>
      <c r="B13" s="8" t="s">
        <v>90</v>
      </c>
      <c r="C13" s="10" t="str">
        <f>IFERROR(INDEX(Universo_Activos!$A$3:$A$1022,MATCH(B13,Universo_Activos!$C$3:$C$1022,0)),"")</f>
        <v>Forex</v>
      </c>
      <c r="D13" s="10" t="str">
        <f>IFERROR(INDEX(Universo_Activos!$B$3:$B$1022,MATCH(B13,Universo_Activos!$C$3:$C$1022,0)),"")</f>
        <v>OTC/Interbancario</v>
      </c>
      <c r="E13" s="10" t="str">
        <f>IFERROR(INDEX(Universo_Activos!$D$3:$D$1022,MATCH(B13,Universo_Activos!$C$3:$C$1022,0)),"")</f>
        <v>GBPUSD</v>
      </c>
      <c r="F13" s="10" t="str">
        <f>IFERROR(INDEX(Universo_Activos!$E$3:$E$1022,MATCH(B13,Universo_Activos!$C$3:$C$1022,0)),"")</f>
        <v>N/A (par de divisas, sin ISIN)</v>
      </c>
      <c r="G13" s="11">
        <v>28.42</v>
      </c>
      <c r="H13" s="12">
        <v>-0.0058</v>
      </c>
      <c r="I13" s="12">
        <v>-0.0095</v>
      </c>
      <c r="J13" s="12">
        <v>0.0548</v>
      </c>
      <c r="K13" s="12">
        <v>0.0031</v>
      </c>
      <c r="L13" s="12">
        <v>0.0224</v>
      </c>
      <c r="M13" s="11">
        <v>20.61</v>
      </c>
      <c r="N13" s="11">
        <v>20.65</v>
      </c>
      <c r="O13" s="11">
        <v>20.717646491294744</v>
      </c>
      <c r="P13" s="11">
        <v>20.74455811411843</v>
      </c>
      <c r="Q13" s="11">
        <v>20.786213502448867</v>
      </c>
      <c r="R13" s="11">
        <v>20.804762292180328</v>
      </c>
      <c r="S13" s="11">
        <v>20.899640921051756</v>
      </c>
      <c r="T13" s="11">
        <v>20.91146299946203</v>
      </c>
      <c r="U13" s="11">
        <v>21.071022917009042</v>
      </c>
      <c r="V13" s="11">
        <v>21.077211144082987</v>
      </c>
      <c r="W13" s="7">
        <f t="shared" si="0"/>
      </c>
      <c r="X13" s="7">
        <f t="shared" si="1"/>
      </c>
      <c r="Y13" s="11">
        <v>20.61</v>
      </c>
      <c r="Z13" s="11">
        <v>20.67</v>
      </c>
      <c r="AA13" s="11">
        <v>20.81138726116584</v>
      </c>
      <c r="AB13" s="11">
        <v>20.861734076457303</v>
      </c>
      <c r="AC13" s="11">
        <v>20.943990701180706</v>
      </c>
      <c r="AD13" s="11">
        <v>20.979147617094466</v>
      </c>
      <c r="AE13" s="11">
        <v>21.076157742600703</v>
      </c>
      <c r="AF13" s="11">
        <v>21.095184589237466</v>
      </c>
      <c r="AG13" s="11">
        <v>21.130187906290544</v>
      </c>
      <c r="AH13" s="11">
        <v>21.137170294294442</v>
      </c>
      <c r="AI13" s="7">
        <f t="shared" si="2"/>
      </c>
      <c r="AJ13" s="7">
        <f t="shared" si="3"/>
      </c>
      <c r="AK13" s="7">
        <f>IF(W13&lt;&gt;"",IFERROR(INDEX(Niveles_Importancia!$A$3:$A$30,MATCH("Vela|"&amp;$E$5&amp;"|15 min",Niveles_Importancia!$H$3:$H$30,0)),"Sin clasificar"),IF(X13&lt;&gt;"",IFERROR(INDEX(Niveles_Importancia!$A$3:$A$30,MATCH($E$5&amp;"|"&amp;$E$6&amp;"|15 min",Niveles_Importancia!$H$3:$H$30,0)),"Sin clasificar"),IF(AI13&lt;&gt;"",IFERROR(INDEX(Niveles_Importancia!$A$3:$A$30,MATCH("Vela|"&amp;$E$5&amp;"|1 hora",Niveles_Importancia!$H$3:$H$30,0)),"Sin clasificar"),IF(AJ13&lt;&gt;"",IFERROR(INDEX(Niveles_Importancia!$A$3:$A$30,MATCH($E$5&amp;"|"&amp;$E$6&amp;"|1 hora",Niveles_Importancia!$H$3:$H$30,0)),"Sin clasificar"),""))))</f>
      </c>
      <c r="AL13" s="7">
        <f t="shared" si="4"/>
      </c>
      <c r="AM13" s="7">
        <f t="shared" si="5"/>
      </c>
    </row>
    <row r="14" spans="1:39" x14ac:dyDescent="0.25">
      <c r="A14" s="7">
        <v>3</v>
      </c>
      <c r="B14" s="8" t="s">
        <v>91</v>
      </c>
      <c r="C14" s="10" t="str">
        <f>IFERROR(INDEX(Universo_Activos!$A$3:$A$1022,MATCH(B14,Universo_Activos!$C$3:$C$1022,0)),"")</f>
        <v>Forex</v>
      </c>
      <c r="D14" s="10" t="str">
        <f>IFERROR(INDEX(Universo_Activos!$B$3:$B$1022,MATCH(B14,Universo_Activos!$C$3:$C$1022,0)),"")</f>
        <v>OTC/Interbancario</v>
      </c>
      <c r="E14" s="10" t="str">
        <f>IFERROR(INDEX(Universo_Activos!$D$3:$D$1022,MATCH(B14,Universo_Activos!$C$3:$C$1022,0)),"")</f>
        <v>USDJPY</v>
      </c>
      <c r="F14" s="10" t="str">
        <f>IFERROR(INDEX(Universo_Activos!$E$3:$E$1022,MATCH(B14,Universo_Activos!$C$3:$C$1022,0)),"")</f>
        <v>N/A (par de divisas, sin ISIN)</v>
      </c>
      <c r="G14" s="11">
        <v>274.88</v>
      </c>
      <c r="H14" s="12">
        <v>-0.0048</v>
      </c>
      <c r="I14" s="12">
        <v>0.0769</v>
      </c>
      <c r="J14" s="12">
        <v>-0.0164</v>
      </c>
      <c r="K14" s="12">
        <v>-0.0683</v>
      </c>
      <c r="L14" s="12">
        <v>0.0207</v>
      </c>
      <c r="M14" s="11">
        <v>11.952</v>
      </c>
      <c r="N14" s="11">
        <v>11.934</v>
      </c>
      <c r="O14" s="11">
        <v>11.973288757524612</v>
      </c>
      <c r="P14" s="11">
        <v>11.978610946905764</v>
      </c>
      <c r="Q14" s="11">
        <v>11.998768446436754</v>
      </c>
      <c r="R14" s="11">
        <v>12.003691440798518</v>
      </c>
      <c r="S14" s="11">
        <v>12.059887722129899</v>
      </c>
      <c r="T14" s="11">
        <v>12.064291302624996</v>
      </c>
      <c r="U14" s="11">
        <v>12.072704963490407</v>
      </c>
      <c r="V14" s="11">
        <v>12.074325164342628</v>
      </c>
      <c r="W14" s="7">
        <f t="shared" si="0"/>
      </c>
      <c r="X14" s="7">
        <f t="shared" si="1"/>
      </c>
      <c r="Y14" s="11">
        <v>11.952</v>
      </c>
      <c r="Z14" s="11">
        <v>11.972</v>
      </c>
      <c r="AA14" s="11">
        <v>12.030948320273424</v>
      </c>
      <c r="AB14" s="11">
        <v>12.05068540034178</v>
      </c>
      <c r="AC14" s="11">
        <v>12.084820868085833</v>
      </c>
      <c r="AD14" s="11">
        <v>12.098802012094868</v>
      </c>
      <c r="AE14" s="11">
        <v>12.06435682198969</v>
      </c>
      <c r="AF14" s="11">
        <v>12.068942814723965</v>
      </c>
      <c r="AG14" s="11">
        <v>12.003302797184261</v>
      </c>
      <c r="AH14" s="11">
        <v>12.003991425334386</v>
      </c>
      <c r="AI14" s="7">
        <f t="shared" si="2"/>
      </c>
      <c r="AJ14" s="7">
        <f t="shared" si="3"/>
      </c>
      <c r="AK14" s="7">
        <f>IF(W14&lt;&gt;"",IFERROR(INDEX(Niveles_Importancia!$A$3:$A$30,MATCH("Vela|"&amp;$E$5&amp;"|15 min",Niveles_Importancia!$H$3:$H$30,0)),"Sin clasificar"),IF(X14&lt;&gt;"",IFERROR(INDEX(Niveles_Importancia!$A$3:$A$30,MATCH($E$5&amp;"|"&amp;$E$6&amp;"|15 min",Niveles_Importancia!$H$3:$H$30,0)),"Sin clasificar"),IF(AI14&lt;&gt;"",IFERROR(INDEX(Niveles_Importancia!$A$3:$A$30,MATCH("Vela|"&amp;$E$5&amp;"|1 hora",Niveles_Importancia!$H$3:$H$30,0)),"Sin clasificar"),IF(AJ14&lt;&gt;"",IFERROR(INDEX(Niveles_Importancia!$A$3:$A$30,MATCH($E$5&amp;"|"&amp;$E$6&amp;"|1 hora",Niveles_Importancia!$H$3:$H$30,0)),"Sin clasificar"),""))))</f>
      </c>
      <c r="AL14" s="7">
        <f t="shared" si="4"/>
      </c>
      <c r="AM14" s="7">
        <f t="shared" si="5"/>
      </c>
    </row>
    <row r="15" spans="1:39" x14ac:dyDescent="0.25">
      <c r="A15" s="7">
        <v>4</v>
      </c>
      <c r="B15" s="8" t="s">
        <v>92</v>
      </c>
      <c r="C15" s="10" t="str">
        <f>IFERROR(INDEX(Universo_Activos!$A$3:$A$1022,MATCH(B15,Universo_Activos!$C$3:$C$1022,0)),"")</f>
        <v>Forex</v>
      </c>
      <c r="D15" s="10" t="str">
        <f>IFERROR(INDEX(Universo_Activos!$B$3:$B$1022,MATCH(B15,Universo_Activos!$C$3:$C$1022,0)),"")</f>
        <v>OTC/Interbancario</v>
      </c>
      <c r="E15" s="10" t="str">
        <f>IFERROR(INDEX(Universo_Activos!$D$3:$D$1022,MATCH(B15,Universo_Activos!$C$3:$C$1022,0)),"")</f>
        <v>AUDUSD</v>
      </c>
      <c r="F15" s="10" t="str">
        <f>IFERROR(INDEX(Universo_Activos!$E$3:$E$1022,MATCH(B15,Universo_Activos!$C$3:$C$1022,0)),"")</f>
        <v>N/A (par de divisas, sin ISIN)</v>
      </c>
      <c r="G15" s="11">
        <v>79.6</v>
      </c>
      <c r="H15" s="12">
        <v>-0.0368</v>
      </c>
      <c r="I15" s="12">
        <v>0.0753</v>
      </c>
      <c r="J15" s="12">
        <v>0.0485</v>
      </c>
      <c r="K15" s="12">
        <v>-0.0313</v>
      </c>
      <c r="L15" s="12">
        <v>0.0616</v>
      </c>
      <c r="M15" s="11">
        <v>0.71495</v>
      </c>
      <c r="N15" s="11">
        <v>0.7150299999999999</v>
      </c>
      <c r="O15" s="11">
        <v>0.7148031409417097</v>
      </c>
      <c r="P15" s="11">
        <v>0.7147664261771371</v>
      </c>
      <c r="Q15" s="11">
        <v>0.715117596868614</v>
      </c>
      <c r="R15" s="11">
        <v>0.7151352386442575</v>
      </c>
      <c r="S15" s="11">
        <v>0.7156750363775017</v>
      </c>
      <c r="T15" s="11">
        <v>0.7157046296990325</v>
      </c>
      <c r="U15" s="11">
        <v>0.7156005902436836</v>
      </c>
      <c r="V15" s="11">
        <v>0.7156093229986323</v>
      </c>
      <c r="W15" s="7">
        <f t="shared" si="0"/>
      </c>
      <c r="X15" s="7">
        <f t="shared" si="1"/>
      </c>
      <c r="Y15" s="11">
        <v>0.71495</v>
      </c>
      <c r="Z15" s="11">
        <v>0.71429</v>
      </c>
      <c r="AA15" s="11">
        <v>0.7153540691862217</v>
      </c>
      <c r="AB15" s="11">
        <v>0.7154550864827771</v>
      </c>
      <c r="AC15" s="11">
        <v>0.7157835760870096</v>
      </c>
      <c r="AD15" s="11">
        <v>0.7158713209382738</v>
      </c>
      <c r="AE15" s="11">
        <v>0.7151421615824299</v>
      </c>
      <c r="AF15" s="11">
        <v>0.715150004912325</v>
      </c>
      <c r="AG15" s="11">
        <v>0.7122827154955957</v>
      </c>
      <c r="AH15" s="11">
        <v>0.7122469130190265</v>
      </c>
      <c r="AI15" s="7">
        <f t="shared" si="2"/>
      </c>
      <c r="AJ15" s="7">
        <f t="shared" si="3"/>
      </c>
      <c r="AK15" s="7">
        <f>IF(W15&lt;&gt;"",IFERROR(INDEX(Niveles_Importancia!$A$3:$A$30,MATCH("Vela|"&amp;$E$5&amp;"|15 min",Niveles_Importancia!$H$3:$H$30,0)),"Sin clasificar"),IF(X15&lt;&gt;"",IFERROR(INDEX(Niveles_Importancia!$A$3:$A$30,MATCH($E$5&amp;"|"&amp;$E$6&amp;"|15 min",Niveles_Importancia!$H$3:$H$30,0)),"Sin clasificar"),IF(AI15&lt;&gt;"",IFERROR(INDEX(Niveles_Importancia!$A$3:$A$30,MATCH("Vela|"&amp;$E$5&amp;"|1 hora",Niveles_Importancia!$H$3:$H$30,0)),"Sin clasificar"),IF(AJ15&lt;&gt;"",IFERROR(INDEX(Niveles_Importancia!$A$3:$A$30,MATCH($E$5&amp;"|"&amp;$E$6&amp;"|1 hora",Niveles_Importancia!$H$3:$H$30,0)),"Sin clasificar"),""))))</f>
      </c>
      <c r="AL15" s="7">
        <f t="shared" si="4"/>
      </c>
      <c r="AM15" s="7">
        <f t="shared" si="5"/>
      </c>
    </row>
    <row r="16" spans="1:39" x14ac:dyDescent="0.25">
      <c r="A16" s="7">
        <v>5</v>
      </c>
      <c r="B16" s="8" t="s">
        <v>93</v>
      </c>
      <c r="C16" s="10" t="str">
        <f>IFERROR(INDEX(Universo_Activos!$A$3:$A$1022,MATCH(B16,Universo_Activos!$C$3:$C$1022,0)),"")</f>
        <v>Forex</v>
      </c>
      <c r="D16" s="10" t="str">
        <f>IFERROR(INDEX(Universo_Activos!$B$3:$B$1022,MATCH(B16,Universo_Activos!$C$3:$C$1022,0)),"")</f>
        <v>OTC/Interbancario</v>
      </c>
      <c r="E16" s="10" t="str">
        <f>IFERROR(INDEX(Universo_Activos!$D$3:$D$1022,MATCH(B16,Universo_Activos!$C$3:$C$1022,0)),"")</f>
        <v>USDCAD</v>
      </c>
      <c r="F16" s="10" t="str">
        <f>IFERROR(INDEX(Universo_Activos!$E$3:$E$1022,MATCH(B16,Universo_Activos!$C$3:$C$1022,0)),"")</f>
        <v>N/A (par de divisas, sin ISIN)</v>
      </c>
      <c r="G16" s="11">
        <v>180.88</v>
      </c>
      <c r="H16" s="12">
        <v>0.0586</v>
      </c>
      <c r="I16" s="12">
        <v>-0.0507</v>
      </c>
      <c r="J16" s="12">
        <v>-0.0553</v>
      </c>
      <c r="K16" s="12">
        <v>0.0653</v>
      </c>
      <c r="L16" s="12">
        <v>0.0508</v>
      </c>
      <c r="M16" s="11">
        <v>162.8</v>
      </c>
      <c r="N16" s="11">
        <v>163.04</v>
      </c>
      <c r="O16" s="11">
        <v>162.02401094208562</v>
      </c>
      <c r="P16" s="11">
        <v>161.83001367760704</v>
      </c>
      <c r="Q16" s="11">
        <v>160.892501786353</v>
      </c>
      <c r="R16" s="11">
        <v>160.69171250070593</v>
      </c>
      <c r="S16" s="11">
        <v>158.419958926268</v>
      </c>
      <c r="T16" s="11">
        <v>158.24118173958507</v>
      </c>
      <c r="U16" s="11">
        <v>150.86605250777296</v>
      </c>
      <c r="V16" s="11">
        <v>150.7058652931122</v>
      </c>
      <c r="W16" s="7">
        <f t="shared" si="0"/>
      </c>
      <c r="X16" s="7">
        <f t="shared" si="1"/>
      </c>
      <c r="Y16" s="11">
        <v>162.8</v>
      </c>
      <c r="Z16" s="11">
        <v>162.5</v>
      </c>
      <c r="AA16" s="11">
        <v>160.2918874341871</v>
      </c>
      <c r="AB16" s="11">
        <v>159.66485929273387</v>
      </c>
      <c r="AC16" s="11">
        <v>156.64441495590808</v>
      </c>
      <c r="AD16" s="11">
        <v>155.99645863547735</v>
      </c>
      <c r="AE16" s="11">
        <v>149.14904812616723</v>
      </c>
      <c r="AF16" s="11">
        <v>148.5918664170312</v>
      </c>
      <c r="AG16" s="11">
        <v>142.1365475695528</v>
      </c>
      <c r="AH16" s="11">
        <v>141.8591857919629</v>
      </c>
      <c r="AI16" s="7">
        <f t="shared" si="2"/>
      </c>
      <c r="AJ16" s="7">
        <f t="shared" si="3"/>
      </c>
      <c r="AK16" s="7">
        <f>IF(W16&lt;&gt;"",IFERROR(INDEX(Niveles_Importancia!$A$3:$A$30,MATCH("Vela|"&amp;$E$5&amp;"|15 min",Niveles_Importancia!$H$3:$H$30,0)),"Sin clasificar"),IF(X16&lt;&gt;"",IFERROR(INDEX(Niveles_Importancia!$A$3:$A$30,MATCH($E$5&amp;"|"&amp;$E$6&amp;"|15 min",Niveles_Importancia!$H$3:$H$30,0)),"Sin clasificar"),IF(AI16&lt;&gt;"",IFERROR(INDEX(Niveles_Importancia!$A$3:$A$30,MATCH("Vela|"&amp;$E$5&amp;"|1 hora",Niveles_Importancia!$H$3:$H$30,0)),"Sin clasificar"),IF(AJ16&lt;&gt;"",IFERROR(INDEX(Niveles_Importancia!$A$3:$A$30,MATCH($E$5&amp;"|"&amp;$E$6&amp;"|1 hora",Niveles_Importancia!$H$3:$H$30,0)),"Sin clasificar"),""))))</f>
      </c>
      <c r="AL16" s="7">
        <f t="shared" si="4"/>
      </c>
      <c r="AM16" s="7">
        <f t="shared" si="5"/>
      </c>
    </row>
    <row r="17" spans="1:39" x14ac:dyDescent="0.25">
      <c r="A17" s="7">
        <v>6</v>
      </c>
      <c r="B17" s="8" t="s">
        <v>94</v>
      </c>
      <c r="C17" s="10" t="str">
        <f>IFERROR(INDEX(Universo_Activos!$A$3:$A$1022,MATCH(B17,Universo_Activos!$C$3:$C$1022,0)),"")</f>
        <v>Forex</v>
      </c>
      <c r="D17" s="10" t="str">
        <f>IFERROR(INDEX(Universo_Activos!$B$3:$B$1022,MATCH(B17,Universo_Activos!$C$3:$C$1022,0)),"")</f>
        <v>OTC/Interbancario</v>
      </c>
      <c r="E17" s="10" t="str">
        <f>IFERROR(INDEX(Universo_Activos!$D$3:$D$1022,MATCH(B17,Universo_Activos!$C$3:$C$1022,0)),"")</f>
        <v>USDCHF</v>
      </c>
      <c r="F17" s="10" t="str">
        <f>IFERROR(INDEX(Universo_Activos!$E$3:$E$1022,MATCH(B17,Universo_Activos!$C$3:$C$1022,0)),"")</f>
        <v>N/A (par de divisas, sin ISIN)</v>
      </c>
      <c r="G17" s="11">
        <v>39.26</v>
      </c>
      <c r="H17" s="12">
        <v>-0.0435</v>
      </c>
      <c r="I17" s="12">
        <v>0.0095</v>
      </c>
      <c r="J17" s="12">
        <v>0.0564</v>
      </c>
      <c r="K17" s="12">
        <v>0.0183</v>
      </c>
      <c r="L17" s="12">
        <v>-0.0352</v>
      </c>
      <c r="M17" s="11">
        <v>0.80242</v>
      </c>
      <c r="N17" s="11">
        <v>0.80229</v>
      </c>
      <c r="O17" s="11">
        <v>0.8024484904193505</v>
      </c>
      <c r="P17" s="11">
        <v>0.8024556130241881</v>
      </c>
      <c r="Q17" s="11">
        <v>0.8023572767064971</v>
      </c>
      <c r="R17" s="11">
        <v>0.8023506742545494</v>
      </c>
      <c r="S17" s="11">
        <v>0.802042809932682</v>
      </c>
      <c r="T17" s="11">
        <v>0.8020274144197302</v>
      </c>
      <c r="U17" s="11">
        <v>0.801113738589855</v>
      </c>
      <c r="V17" s="11">
        <v>0.8010962048796517</v>
      </c>
      <c r="W17" s="7">
        <f t="shared" si="0"/>
      </c>
      <c r="X17" s="7">
        <f t="shared" si="1"/>
      </c>
      <c r="Y17" s="11">
        <v>0.80242</v>
      </c>
      <c r="Z17" s="11">
        <v>0.80265</v>
      </c>
      <c r="AA17" s="11">
        <v>0.8022956892706842</v>
      </c>
      <c r="AB17" s="11">
        <v>0.8022646115883552</v>
      </c>
      <c r="AC17" s="11">
        <v>0.8017931671957996</v>
      </c>
      <c r="AD17" s="11">
        <v>0.8017271847953574</v>
      </c>
      <c r="AE17" s="11">
        <v>0.8014238985234124</v>
      </c>
      <c r="AF17" s="11">
        <v>0.8013832413202864</v>
      </c>
      <c r="AG17" s="11">
        <v>0.8041949325385108</v>
      </c>
      <c r="AH17" s="11">
        <v>0.8042187571363432</v>
      </c>
      <c r="AI17" s="7">
        <f t="shared" si="2"/>
      </c>
      <c r="AJ17" s="7">
        <f t="shared" si="3"/>
      </c>
      <c r="AK17" s="7">
        <f>IF(W17&lt;&gt;"",IFERROR(INDEX(Niveles_Importancia!$A$3:$A$30,MATCH("Vela|"&amp;$E$5&amp;"|15 min",Niveles_Importancia!$H$3:$H$30,0)),"Sin clasificar"),IF(X17&lt;&gt;"",IFERROR(INDEX(Niveles_Importancia!$A$3:$A$30,MATCH($E$5&amp;"|"&amp;$E$6&amp;"|15 min",Niveles_Importancia!$H$3:$H$30,0)),"Sin clasificar"),IF(AI17&lt;&gt;"",IFERROR(INDEX(Niveles_Importancia!$A$3:$A$30,MATCH("Vela|"&amp;$E$5&amp;"|1 hora",Niveles_Importancia!$H$3:$H$30,0)),"Sin clasificar"),IF(AJ17&lt;&gt;"",IFERROR(INDEX(Niveles_Importancia!$A$3:$A$30,MATCH($E$5&amp;"|"&amp;$E$6&amp;"|1 hora",Niveles_Importancia!$H$3:$H$30,0)),"Sin clasificar"),""))))</f>
      </c>
      <c r="AL17" s="7">
        <f t="shared" si="4"/>
      </c>
      <c r="AM17" s="7">
        <f t="shared" si="5"/>
      </c>
    </row>
    <row r="18" spans="1:39" x14ac:dyDescent="0.25">
      <c r="A18" s="7">
        <v>7</v>
      </c>
      <c r="B18" s="8" t="s">
        <v>95</v>
      </c>
      <c r="C18" s="10" t="str">
        <f>IFERROR(INDEX(Universo_Activos!$A$3:$A$1022,MATCH(B18,Universo_Activos!$C$3:$C$1022,0)),"")</f>
        <v>Forex</v>
      </c>
      <c r="D18" s="10" t="str">
        <f>IFERROR(INDEX(Universo_Activos!$B$3:$B$1022,MATCH(B18,Universo_Activos!$C$3:$C$1022,0)),"")</f>
        <v>OTC/Interbancario</v>
      </c>
      <c r="E18" s="10" t="str">
        <f>IFERROR(INDEX(Universo_Activos!$D$3:$D$1022,MATCH(B18,Universo_Activos!$C$3:$C$1022,0)),"")</f>
        <v>NZDUSD</v>
      </c>
      <c r="F18" s="10" t="str">
        <f>IFERROR(INDEX(Universo_Activos!$E$3:$E$1022,MATCH(B18,Universo_Activos!$C$3:$C$1022,0)),"")</f>
        <v>N/A (par de divisas, sin ISIN)</v>
      </c>
      <c r="G18" s="11">
        <v>216.27</v>
      </c>
      <c r="H18" s="12">
        <v>0.074</v>
      </c>
      <c r="I18" s="12">
        <v>-0.0766</v>
      </c>
      <c r="J18" s="12">
        <v>0.0218</v>
      </c>
      <c r="K18" s="12">
        <v>-0.0028</v>
      </c>
      <c r="L18" s="12">
        <v>0.0369</v>
      </c>
      <c r="M18" s="11">
        <v>0.59579</v>
      </c>
      <c r="N18" s="11">
        <v>0.59588</v>
      </c>
      <c r="O18" s="11">
        <v>0.5956812867288046</v>
      </c>
      <c r="P18" s="11">
        <v>0.5956541084110057</v>
      </c>
      <c r="Q18" s="11">
        <v>0.5958622520878512</v>
      </c>
      <c r="R18" s="11">
        <v>0.5958698575707828</v>
      </c>
      <c r="S18" s="11">
        <v>0.5963027744683543</v>
      </c>
      <c r="T18" s="11">
        <v>0.5963237040384912</v>
      </c>
      <c r="U18" s="11">
        <v>0.5965811438007288</v>
      </c>
      <c r="V18" s="11">
        <v>0.5965917631806044</v>
      </c>
      <c r="W18" s="7">
        <f t="shared" si="0"/>
      </c>
      <c r="X18" s="7">
        <f t="shared" si="1"/>
      </c>
      <c r="Y18" s="11">
        <v>0.59579</v>
      </c>
      <c r="Z18" s="11">
        <v>0.5953499999999999</v>
      </c>
      <c r="AA18" s="11">
        <v>0.5960082753189935</v>
      </c>
      <c r="AB18" s="11">
        <v>0.5960628441487419</v>
      </c>
      <c r="AC18" s="11">
        <v>0.5964673014284569</v>
      </c>
      <c r="AD18" s="11">
        <v>0.596538596315663</v>
      </c>
      <c r="AE18" s="11">
        <v>0.5961886213786057</v>
      </c>
      <c r="AF18" s="11">
        <v>0.596204891638957</v>
      </c>
      <c r="AG18" s="11">
        <v>0.593353799017699</v>
      </c>
      <c r="AH18" s="11">
        <v>0.5933210983333729</v>
      </c>
      <c r="AI18" s="7">
        <f t="shared" si="2"/>
      </c>
      <c r="AJ18" s="7">
        <f t="shared" si="3"/>
      </c>
      <c r="AK18" s="7">
        <f>IF(W18&lt;&gt;"",IFERROR(INDEX(Niveles_Importancia!$A$3:$A$30,MATCH("Vela|"&amp;$E$5&amp;"|15 min",Niveles_Importancia!$H$3:$H$30,0)),"Sin clasificar"),IF(X18&lt;&gt;"",IFERROR(INDEX(Niveles_Importancia!$A$3:$A$30,MATCH($E$5&amp;"|"&amp;$E$6&amp;"|15 min",Niveles_Importancia!$H$3:$H$30,0)),"Sin clasificar"),IF(AI18&lt;&gt;"",IFERROR(INDEX(Niveles_Importancia!$A$3:$A$30,MATCH("Vela|"&amp;$E$5&amp;"|1 hora",Niveles_Importancia!$H$3:$H$30,0)),"Sin clasificar"),IF(AJ18&lt;&gt;"",IFERROR(INDEX(Niveles_Importancia!$A$3:$A$30,MATCH($E$5&amp;"|"&amp;$E$6&amp;"|1 hora",Niveles_Importancia!$H$3:$H$30,0)),"Sin clasificar"),""))))</f>
      </c>
      <c r="AL18" s="7">
        <f t="shared" si="4"/>
      </c>
      <c r="AM18" s="7">
        <f t="shared" si="5"/>
      </c>
    </row>
    <row r="19" spans="1:39" x14ac:dyDescent="0.25">
      <c r="A19" s="7">
        <v>8</v>
      </c>
      <c r="B19" s="8" t="s">
        <v>96</v>
      </c>
      <c r="C19" s="10" t="str">
        <f>IFERROR(INDEX(Universo_Activos!$A$3:$A$1022,MATCH(B19,Universo_Activos!$C$3:$C$1022,0)),"")</f>
        <v>Forex</v>
      </c>
      <c r="D19" s="10" t="str">
        <f>IFERROR(INDEX(Universo_Activos!$B$3:$B$1022,MATCH(B19,Universo_Activos!$C$3:$C$1022,0)),"")</f>
        <v>OTC/Interbancario</v>
      </c>
      <c r="E19" s="10" t="str">
        <f>IFERROR(INDEX(Universo_Activos!$D$3:$D$1022,MATCH(B19,Universo_Activos!$C$3:$C$1022,0)),"")</f>
        <v>EURGBP</v>
      </c>
      <c r="F19" s="10" t="str">
        <f>IFERROR(INDEX(Universo_Activos!$E$3:$E$1022,MATCH(B19,Universo_Activos!$C$3:$C$1022,0)),"")</f>
        <v>N/A (par de divisas, sin ISIN)</v>
      </c>
      <c r="G19" s="11">
        <v>183.15</v>
      </c>
      <c r="H19" s="12">
        <v>0.0174</v>
      </c>
      <c r="I19" s="12">
        <v>-0.0672</v>
      </c>
      <c r="J19" s="12">
        <v>0.0223</v>
      </c>
      <c r="K19" s="12">
        <v>0.0789</v>
      </c>
      <c r="L19" s="12">
        <v>0.0608</v>
      </c>
      <c r="M19" s="11">
        <v>0.85554</v>
      </c>
      <c r="N19" s="11">
        <v>0.85558</v>
      </c>
      <c r="O19" s="11">
        <v>0.8555393118100728</v>
      </c>
      <c r="P19" s="11">
        <v>0.855539139762591</v>
      </c>
      <c r="Q19" s="11">
        <v>0.8555465973313102</v>
      </c>
      <c r="R19" s="11">
        <v>0.8555472917872377</v>
      </c>
      <c r="S19" s="11">
        <v>0.855630450151213</v>
      </c>
      <c r="T19" s="11">
        <v>0.8556341419941196</v>
      </c>
      <c r="U19" s="11">
        <v>0.8560486969367856</v>
      </c>
      <c r="V19" s="11">
        <v>0.8560555250835882</v>
      </c>
      <c r="W19" s="7">
        <f t="shared" si="0"/>
      </c>
      <c r="X19" s="7" t="str">
        <f t="shared" si="1"/>
        <v>ALCISTA</v>
      </c>
      <c r="Y19" s="11">
        <v>0.85554</v>
      </c>
      <c r="Z19" s="11">
        <v>0.85549</v>
      </c>
      <c r="AA19" s="11">
        <v>0.8555831919692236</v>
      </c>
      <c r="AB19" s="11">
        <v>0.8555939899615296</v>
      </c>
      <c r="AC19" s="11">
        <v>0.855729663088891</v>
      </c>
      <c r="AD19" s="11">
        <v>0.8557496276245637</v>
      </c>
      <c r="AE19" s="11">
        <v>0.8560701314821382</v>
      </c>
      <c r="AF19" s="11">
        <v>0.8560917695018173</v>
      </c>
      <c r="AG19" s="11">
        <v>0.856030604057077</v>
      </c>
      <c r="AH19" s="11">
        <v>0.8560371893464337</v>
      </c>
      <c r="AI19" s="7" t="str">
        <f t="shared" si="2"/>
        <v>ALCISTA</v>
      </c>
      <c r="AJ19" s="7">
        <f t="shared" si="3"/>
      </c>
      <c r="AK19" s="7">
        <f>IF(W19&lt;&gt;"",IFERROR(INDEX(Niveles_Importancia!$A$3:$A$30,MATCH("Vela|"&amp;$E$5&amp;"|15 min",Niveles_Importancia!$H$3:$H$30,0)),"Sin clasificar"),IF(X19&lt;&gt;"",IFERROR(INDEX(Niveles_Importancia!$A$3:$A$30,MATCH($E$5&amp;"|"&amp;$E$6&amp;"|15 min",Niveles_Importancia!$H$3:$H$30,0)),"Sin clasificar"),IF(AI19&lt;&gt;"",IFERROR(INDEX(Niveles_Importancia!$A$3:$A$30,MATCH("Vela|"&amp;$E$5&amp;"|1 hora",Niveles_Importancia!$H$3:$H$30,0)),"Sin clasificar"),IF(AJ19&lt;&gt;"",IFERROR(INDEX(Niveles_Importancia!$A$3:$A$30,MATCH($E$5&amp;"|"&amp;$E$6&amp;"|1 hora",Niveles_Importancia!$H$3:$H$30,0)),"Sin clasificar"),""))))</f>
        <v>1</v>
      </c>
      <c r="AL19" s="7" t="str">
        <f t="shared" si="4"/>
        <v>Cruce alcista detectado en Euro / Libra (OTC/Interbancario). EMA 9 ha cruzado EMA 20 en 15 min. Nivel: 1. 31/07/yyyy 20:15</v>
      </c>
      <c r="AM19" s="7" t="str">
        <f t="shared" si="5"/>
        <v>Euro / Libra|15min-MA1MA2|yyyy07312015</v>
      </c>
    </row>
    <row r="20" spans="1:39" x14ac:dyDescent="0.25">
      <c r="A20" s="7">
        <v>9</v>
      </c>
      <c r="B20" s="8" t="s">
        <v>97</v>
      </c>
      <c r="C20" s="10" t="str">
        <f>IFERROR(INDEX(Universo_Activos!$A$3:$A$1022,MATCH(B20,Universo_Activos!$C$3:$C$1022,0)),"")</f>
        <v>Acciones Espana</v>
      </c>
      <c r="D20" s="10" t="str">
        <f>IFERROR(INDEX(Universo_Activos!$B$3:$B$1022,MATCH(B20,Universo_Activos!$C$3:$C$1022,0)),"")</f>
        <v>BME (Madrid)</v>
      </c>
      <c r="E20" s="10" t="str">
        <f>IFERROR(INDEX(Universo_Activos!$D$3:$D$1022,MATCH(B20,Universo_Activos!$C$3:$C$1022,0)),"")</f>
        <v>SAN.MC</v>
      </c>
      <c r="F20" s="10" t="str">
        <f>IFERROR(INDEX(Universo_Activos!$E$3:$E$1022,MATCH(B20,Universo_Activos!$C$3:$C$1022,0)),"")</f>
        <v>ES0113900J37</v>
      </c>
      <c r="G20" s="11">
        <v>76.72</v>
      </c>
      <c r="H20" s="12">
        <v>-0.0529</v>
      </c>
      <c r="I20" s="12">
        <v>0.0649</v>
      </c>
      <c r="J20" s="12">
        <v>0.0256</v>
      </c>
      <c r="K20" s="12">
        <v>-0.0093</v>
      </c>
      <c r="L20" s="12">
        <v>0.0627</v>
      </c>
      <c r="M20" s="11">
        <v>12.702</v>
      </c>
      <c r="N20" s="11">
        <v>12.742</v>
      </c>
      <c r="O20" s="11">
        <v>12.703929013681885</v>
      </c>
      <c r="P20" s="11">
        <v>12.704411267102355</v>
      </c>
      <c r="Q20" s="11">
        <v>12.676116233460812</v>
      </c>
      <c r="R20" s="11">
        <v>12.673391626456686</v>
      </c>
      <c r="S20" s="11">
        <v>12.607570329309397</v>
      </c>
      <c r="T20" s="11">
        <v>12.60371605703631</v>
      </c>
      <c r="U20" s="11">
        <v>12.55189429281823</v>
      </c>
      <c r="V20" s="11">
        <v>12.549879451111092</v>
      </c>
      <c r="W20" s="7" t="str">
        <f t="shared" si="0"/>
        <v>ALCISTA</v>
      </c>
      <c r="X20" s="7">
        <f t="shared" si="1"/>
      </c>
      <c r="Y20" s="11">
        <v>12.702</v>
      </c>
      <c r="Z20" s="11">
        <v>12.708</v>
      </c>
      <c r="AA20" s="11">
        <v>12.645176981151328</v>
      </c>
      <c r="AB20" s="11">
        <v>12.63097122643916</v>
      </c>
      <c r="AC20" s="11">
        <v>12.569497740471109</v>
      </c>
      <c r="AD20" s="11">
        <v>12.555550134204909</v>
      </c>
      <c r="AE20" s="11">
        <v>12.55884565840783</v>
      </c>
      <c r="AF20" s="11">
        <v>12.553002624057129</v>
      </c>
      <c r="AG20" s="11">
        <v>12.561981524641547</v>
      </c>
      <c r="AH20" s="11">
        <v>12.560102082019286</v>
      </c>
      <c r="AI20" s="7">
        <f t="shared" si="2"/>
      </c>
      <c r="AJ20" s="7">
        <f t="shared" si="3"/>
      </c>
      <c r="AK20" s="7" t="str">
        <f>IF(W20&lt;&gt;"",IFERROR(INDEX(Niveles_Importancia!$A$3:$A$30,MATCH("Vela|"&amp;$E$5&amp;"|15 min",Niveles_Importancia!$H$3:$H$30,0)),"Sin clasificar"),IF(X20&lt;&gt;"",IFERROR(INDEX(Niveles_Importancia!$A$3:$A$30,MATCH($E$5&amp;"|"&amp;$E$6&amp;"|15 min",Niveles_Importancia!$H$3:$H$30,0)),"Sin clasificar"),IF(AI20&lt;&gt;"",IFERROR(INDEX(Niveles_Importancia!$A$3:$A$30,MATCH("Vela|"&amp;$E$5&amp;"|1 hora",Niveles_Importancia!$H$3:$H$30,0)),"Sin clasificar"),IF(AJ20&lt;&gt;"",IFERROR(INDEX(Niveles_Importancia!$A$3:$A$30,MATCH($E$5&amp;"|"&amp;$E$6&amp;"|1 hora",Niveles_Importancia!$H$3:$H$30,0)),"Sin clasificar"),""))))</f>
        <v>Sin clasificar</v>
      </c>
      <c r="AL20" s="7" t="str">
        <f t="shared" si="4"/>
        <v>Cruce alcista detectado en Banco Santander (BME (Madrid)). La vela ha cruzado EMA 9 en 15 min. Nivel: Sin clasificar. Precio: 012. 31/07/yyyy 20:15</v>
      </c>
      <c r="AM20" s="7" t="str">
        <f t="shared" si="5"/>
        <v>Banco Santander|15min-VelaMA1|yyyy07312015</v>
      </c>
    </row>
    <row r="21" spans="1:39" x14ac:dyDescent="0.25">
      <c r="A21" s="7">
        <v>10</v>
      </c>
      <c r="B21" s="8" t="s">
        <v>98</v>
      </c>
      <c r="C21" s="10" t="str">
        <f>IFERROR(INDEX(Universo_Activos!$A$3:$A$1022,MATCH(B21,Universo_Activos!$C$3:$C$1022,0)),"")</f>
        <v>Acciones Espana</v>
      </c>
      <c r="D21" s="10" t="str">
        <f>IFERROR(INDEX(Universo_Activos!$B$3:$B$1022,MATCH(B21,Universo_Activos!$C$3:$C$1022,0)),"")</f>
        <v>BME (Madrid)</v>
      </c>
      <c r="E21" s="10" t="str">
        <f>IFERROR(INDEX(Universo_Activos!$D$3:$D$1022,MATCH(B21,Universo_Activos!$C$3:$C$1022,0)),"")</f>
        <v>BBVA.MC</v>
      </c>
      <c r="F21" s="10" t="str">
        <f>IFERROR(INDEX(Universo_Activos!$E$3:$E$1022,MATCH(B21,Universo_Activos!$C$3:$C$1022,0)),"")</f>
        <v>ES0113211835</v>
      </c>
      <c r="G21" s="11">
        <v>79.94</v>
      </c>
      <c r="H21" s="12">
        <v>-0.0138</v>
      </c>
      <c r="I21" s="12">
        <v>0.0201</v>
      </c>
      <c r="J21" s="12">
        <v>-0.001</v>
      </c>
      <c r="K21" s="12">
        <v>-0.0295</v>
      </c>
      <c r="L21" s="12">
        <v>0.0543</v>
      </c>
      <c r="M21" s="11">
        <v>25.07</v>
      </c>
      <c r="N21" s="11">
        <v>25.14</v>
      </c>
      <c r="O21" s="11">
        <v>25.060736697360078</v>
      </c>
      <c r="P21" s="11">
        <v>25.058420871700097</v>
      </c>
      <c r="Q21" s="11">
        <v>24.999477162930955</v>
      </c>
      <c r="R21" s="11">
        <v>24.99205370639737</v>
      </c>
      <c r="S21" s="11">
        <v>24.90161025861018</v>
      </c>
      <c r="T21" s="11">
        <v>24.89473720794121</v>
      </c>
      <c r="U21" s="11">
        <v>24.83687035359357</v>
      </c>
      <c r="V21" s="11">
        <v>24.833741096594828</v>
      </c>
      <c r="W21" s="7">
        <f t="shared" si="0"/>
      </c>
      <c r="X21" s="7">
        <f t="shared" si="1"/>
      </c>
      <c r="Y21" s="11">
        <v>25.07</v>
      </c>
      <c r="Z21" s="11">
        <v>25.08</v>
      </c>
      <c r="AA21" s="11">
        <v>24.9545988284172</v>
      </c>
      <c r="AB21" s="11">
        <v>24.9257485355215</v>
      </c>
      <c r="AC21" s="11">
        <v>24.86624576219368</v>
      </c>
      <c r="AD21" s="11">
        <v>24.844797947687752</v>
      </c>
      <c r="AE21" s="11">
        <v>24.83007051000725</v>
      </c>
      <c r="AF21" s="11">
        <v>24.820277469599382</v>
      </c>
      <c r="AG21" s="11">
        <v>24.521790694447763</v>
      </c>
      <c r="AH21" s="11">
        <v>24.514432180279275</v>
      </c>
      <c r="AI21" s="7">
        <f t="shared" si="2"/>
      </c>
      <c r="AJ21" s="7">
        <f t="shared" si="3"/>
      </c>
      <c r="AK21" s="7">
        <f>IF(W21&lt;&gt;"",IFERROR(INDEX(Niveles_Importancia!$A$3:$A$30,MATCH("Vela|"&amp;$E$5&amp;"|15 min",Niveles_Importancia!$H$3:$H$30,0)),"Sin clasificar"),IF(X21&lt;&gt;"",IFERROR(INDEX(Niveles_Importancia!$A$3:$A$30,MATCH($E$5&amp;"|"&amp;$E$6&amp;"|15 min",Niveles_Importancia!$H$3:$H$30,0)),"Sin clasificar"),IF(AI21&lt;&gt;"",IFERROR(INDEX(Niveles_Importancia!$A$3:$A$30,MATCH("Vela|"&amp;$E$5&amp;"|1 hora",Niveles_Importancia!$H$3:$H$30,0)),"Sin clasificar"),IF(AJ21&lt;&gt;"",IFERROR(INDEX(Niveles_Importancia!$A$3:$A$30,MATCH($E$5&amp;"|"&amp;$E$6&amp;"|1 hora",Niveles_Importancia!$H$3:$H$30,0)),"Sin clasificar"),""))))</f>
      </c>
      <c r="AL21" s="7">
        <f t="shared" si="4"/>
      </c>
      <c r="AM21" s="7">
        <f t="shared" si="5"/>
      </c>
    </row>
    <row r="22" spans="1:39" x14ac:dyDescent="0.25">
      <c r="A22" s="7">
        <v>11</v>
      </c>
      <c r="B22" s="8" t="s">
        <v>99</v>
      </c>
      <c r="C22" s="10" t="str">
        <f>IFERROR(INDEX(Universo_Activos!$A$3:$A$1022,MATCH(B22,Universo_Activos!$C$3:$C$1022,0)),"")</f>
        <v>Acciones Espana</v>
      </c>
      <c r="D22" s="10" t="str">
        <f>IFERROR(INDEX(Universo_Activos!$B$3:$B$1022,MATCH(B22,Universo_Activos!$C$3:$C$1022,0)),"")</f>
        <v>BME (Madrid)</v>
      </c>
      <c r="E22" s="10" t="str">
        <f>IFERROR(INDEX(Universo_Activos!$D$3:$D$1022,MATCH(B22,Universo_Activos!$C$3:$C$1022,0)),"")</f>
        <v>IBE.MC</v>
      </c>
      <c r="F22" s="10" t="str">
        <f>IFERROR(INDEX(Universo_Activos!$E$3:$E$1022,MATCH(B22,Universo_Activos!$C$3:$C$1022,0)),"")</f>
        <v>ES0144580Y14</v>
      </c>
      <c r="G22" s="11">
        <v>196.39</v>
      </c>
      <c r="H22" s="12">
        <v>0.0248</v>
      </c>
      <c r="I22" s="12">
        <v>0.0492</v>
      </c>
      <c r="J22" s="12">
        <v>0.0734</v>
      </c>
      <c r="K22" s="12">
        <v>0.0295</v>
      </c>
      <c r="L22" s="12">
        <v>-0.0481</v>
      </c>
      <c r="M22" s="11">
        <v>20.03</v>
      </c>
      <c r="N22" s="11">
        <v>20.01</v>
      </c>
      <c r="O22" s="11">
        <v>19.995625804171905</v>
      </c>
      <c r="P22" s="11">
        <v>19.98703225521488</v>
      </c>
      <c r="Q22" s="11">
        <v>19.994422142301577</v>
      </c>
      <c r="R22" s="11">
        <v>19.990677104649112</v>
      </c>
      <c r="S22" s="11">
        <v>20.026700595878875</v>
      </c>
      <c r="T22" s="11">
        <v>20.02656592632291</v>
      </c>
      <c r="U22" s="11">
        <v>20.099313585325472</v>
      </c>
      <c r="V22" s="11">
        <v>20.100243969021115</v>
      </c>
      <c r="W22" s="7">
        <f t="shared" si="0"/>
      </c>
      <c r="X22" s="7">
        <f t="shared" si="1"/>
      </c>
      <c r="Y22" s="11">
        <v>20.03</v>
      </c>
      <c r="Z22" s="11">
        <v>19.985</v>
      </c>
      <c r="AA22" s="11">
        <v>20.015266568099634</v>
      </c>
      <c r="AB22" s="11">
        <v>20.01158321012454</v>
      </c>
      <c r="AC22" s="11">
        <v>20.049488371897013</v>
      </c>
      <c r="AD22" s="11">
        <v>20.05153977946512</v>
      </c>
      <c r="AE22" s="11">
        <v>20.127888648210895</v>
      </c>
      <c r="AF22" s="11">
        <v>20.131884103239912</v>
      </c>
      <c r="AG22" s="11">
        <v>20.393253067088533</v>
      </c>
      <c r="AH22" s="11">
        <v>20.398128947183682</v>
      </c>
      <c r="AI22" s="7">
        <f t="shared" si="2"/>
      </c>
      <c r="AJ22" s="7">
        <f t="shared" si="3"/>
      </c>
      <c r="AK22" s="7">
        <f>IF(W22&lt;&gt;"",IFERROR(INDEX(Niveles_Importancia!$A$3:$A$30,MATCH("Vela|"&amp;$E$5&amp;"|15 min",Niveles_Importancia!$H$3:$H$30,0)),"Sin clasificar"),IF(X22&lt;&gt;"",IFERROR(INDEX(Niveles_Importancia!$A$3:$A$30,MATCH($E$5&amp;"|"&amp;$E$6&amp;"|15 min",Niveles_Importancia!$H$3:$H$30,0)),"Sin clasificar"),IF(AI22&lt;&gt;"",IFERROR(INDEX(Niveles_Importancia!$A$3:$A$30,MATCH("Vela|"&amp;$E$5&amp;"|1 hora",Niveles_Importancia!$H$3:$H$30,0)),"Sin clasificar"),IF(AJ22&lt;&gt;"",IFERROR(INDEX(Niveles_Importancia!$A$3:$A$30,MATCH($E$5&amp;"|"&amp;$E$6&amp;"|1 hora",Niveles_Importancia!$H$3:$H$30,0)),"Sin clasificar"),""))))</f>
      </c>
      <c r="AL22" s="7">
        <f t="shared" si="4"/>
      </c>
      <c r="AM22" s="7">
        <f t="shared" si="5"/>
      </c>
    </row>
    <row r="23" spans="1:39" x14ac:dyDescent="0.25">
      <c r="A23" s="7">
        <v>12</v>
      </c>
      <c r="B23" s="8" t="s">
        <v>100</v>
      </c>
      <c r="C23" s="10" t="str">
        <f>IFERROR(INDEX(Universo_Activos!$A$3:$A$1022,MATCH(B23,Universo_Activos!$C$3:$C$1022,0)),"")</f>
        <v>Acciones Espana</v>
      </c>
      <c r="D23" s="10" t="str">
        <f>IFERROR(INDEX(Universo_Activos!$B$3:$B$1022,MATCH(B23,Universo_Activos!$C$3:$C$1022,0)),"")</f>
        <v>BME (Madrid)</v>
      </c>
      <c r="E23" s="10" t="str">
        <f>IFERROR(INDEX(Universo_Activos!$D$3:$D$1022,MATCH(B23,Universo_Activos!$C$3:$C$1022,0)),"")</f>
        <v>ITX.MC</v>
      </c>
      <c r="F23" s="10" t="str">
        <f>IFERROR(INDEX(Universo_Activos!$E$3:$E$1022,MATCH(B23,Universo_Activos!$C$3:$C$1022,0)),"")</f>
        <v>ES0148396007</v>
      </c>
      <c r="G23" s="11">
        <v>195.15</v>
      </c>
      <c r="H23" s="12">
        <v>0.0656</v>
      </c>
      <c r="I23" s="12">
        <v>-0.0197</v>
      </c>
      <c r="J23" s="12">
        <v>0.011</v>
      </c>
      <c r="K23" s="12">
        <v>0.0607</v>
      </c>
      <c r="L23" s="12">
        <v>0.0475</v>
      </c>
      <c r="M23" s="11">
        <v>58.42</v>
      </c>
      <c r="N23" s="11">
        <v>58.52</v>
      </c>
      <c r="O23" s="11">
        <v>58.51520193629736</v>
      </c>
      <c r="P23" s="11">
        <v>58.539002420371695</v>
      </c>
      <c r="Q23" s="11">
        <v>58.49425302999615</v>
      </c>
      <c r="R23" s="11">
        <v>58.5020691384168</v>
      </c>
      <c r="S23" s="11">
        <v>58.33238560684667</v>
      </c>
      <c r="T23" s="11">
        <v>58.328809509166945</v>
      </c>
      <c r="U23" s="11">
        <v>58.03117552412664</v>
      </c>
      <c r="V23" s="11">
        <v>58.02595640364512</v>
      </c>
      <c r="W23" s="7">
        <f t="shared" si="0"/>
      </c>
      <c r="X23" s="7">
        <f t="shared" si="1"/>
      </c>
      <c r="Y23" s="11">
        <v>58.42</v>
      </c>
      <c r="Z23" s="11">
        <v>58.56</v>
      </c>
      <c r="AA23" s="11">
        <v>58.439809939395104</v>
      </c>
      <c r="AB23" s="11">
        <v>58.444762424243876</v>
      </c>
      <c r="AC23" s="11">
        <v>58.23128514692263</v>
      </c>
      <c r="AD23" s="11">
        <v>58.211420425546066</v>
      </c>
      <c r="AE23" s="11">
        <v>57.978610192776046</v>
      </c>
      <c r="AF23" s="11">
        <v>57.96059428227711</v>
      </c>
      <c r="AG23" s="11">
        <v>57.54744368149699</v>
      </c>
      <c r="AH23" s="11">
        <v>57.53573151614796</v>
      </c>
      <c r="AI23" s="7">
        <f t="shared" si="2"/>
      </c>
      <c r="AJ23" s="7">
        <f t="shared" si="3"/>
      </c>
      <c r="AK23" s="7">
        <f>IF(W23&lt;&gt;"",IFERROR(INDEX(Niveles_Importancia!$A$3:$A$30,MATCH("Vela|"&amp;$E$5&amp;"|15 min",Niveles_Importancia!$H$3:$H$30,0)),"Sin clasificar"),IF(X23&lt;&gt;"",IFERROR(INDEX(Niveles_Importancia!$A$3:$A$30,MATCH($E$5&amp;"|"&amp;$E$6&amp;"|15 min",Niveles_Importancia!$H$3:$H$30,0)),"Sin clasificar"),IF(AI23&lt;&gt;"",IFERROR(INDEX(Niveles_Importancia!$A$3:$A$30,MATCH("Vela|"&amp;$E$5&amp;"|1 hora",Niveles_Importancia!$H$3:$H$30,0)),"Sin clasificar"),IF(AJ23&lt;&gt;"",IFERROR(INDEX(Niveles_Importancia!$A$3:$A$30,MATCH($E$5&amp;"|"&amp;$E$6&amp;"|1 hora",Niveles_Importancia!$H$3:$H$30,0)),"Sin clasificar"),""))))</f>
      </c>
      <c r="AL23" s="7">
        <f t="shared" si="4"/>
      </c>
      <c r="AM23" s="7">
        <f t="shared" si="5"/>
      </c>
    </row>
    <row r="24" spans="1:39" x14ac:dyDescent="0.25">
      <c r="A24" s="7">
        <v>13</v>
      </c>
      <c r="B24" s="8" t="s">
        <v>101</v>
      </c>
      <c r="C24" s="10" t="str">
        <f>IFERROR(INDEX(Universo_Activos!$A$3:$A$1022,MATCH(B24,Universo_Activos!$C$3:$C$1022,0)),"")</f>
        <v>Acciones Espana</v>
      </c>
      <c r="D24" s="10" t="str">
        <f>IFERROR(INDEX(Universo_Activos!$B$3:$B$1022,MATCH(B24,Universo_Activos!$C$3:$C$1022,0)),"")</f>
        <v>BME (Madrid)</v>
      </c>
      <c r="E24" s="10" t="str">
        <f>IFERROR(INDEX(Universo_Activos!$D$3:$D$1022,MATCH(B24,Universo_Activos!$C$3:$C$1022,0)),"")</f>
        <v>TEF.MC</v>
      </c>
      <c r="F24" s="10" t="str">
        <f>IFERROR(INDEX(Universo_Activos!$E$3:$E$1022,MATCH(B24,Universo_Activos!$C$3:$C$1022,0)),"")</f>
        <v>ES0178430E18</v>
      </c>
      <c r="G24" s="11">
        <v>174.08</v>
      </c>
      <c r="H24" s="12">
        <v>0.0429</v>
      </c>
      <c r="I24" s="12">
        <v>-0.002</v>
      </c>
      <c r="J24" s="12">
        <v>-0.0755</v>
      </c>
      <c r="K24" s="12">
        <v>0.0495</v>
      </c>
      <c r="L24" s="12">
        <v>-0.0698</v>
      </c>
      <c r="M24" s="11">
        <v>3.649</v>
      </c>
      <c r="N24" s="11">
        <v>3.649</v>
      </c>
      <c r="O24" s="11">
        <v>3.6453047167728165</v>
      </c>
      <c r="P24" s="11">
        <v>3.6443808959660204</v>
      </c>
      <c r="Q24" s="11">
        <v>3.645628118178196</v>
      </c>
      <c r="R24" s="11">
        <v>3.645273183249585</v>
      </c>
      <c r="S24" s="11">
        <v>3.648162614474727</v>
      </c>
      <c r="T24" s="11">
        <v>3.648128435473695</v>
      </c>
      <c r="U24" s="11">
        <v>3.658818447738485</v>
      </c>
      <c r="V24" s="11">
        <v>3.658950238983297</v>
      </c>
      <c r="W24" s="7">
        <f t="shared" si="0"/>
      </c>
      <c r="X24" s="7">
        <f t="shared" si="1"/>
      </c>
      <c r="Y24" s="11">
        <v>3.649</v>
      </c>
      <c r="Z24" s="11">
        <v>3.646</v>
      </c>
      <c r="AA24" s="11">
        <v>3.6471401529269207</v>
      </c>
      <c r="AB24" s="11">
        <v>3.646675191158651</v>
      </c>
      <c r="AC24" s="11">
        <v>3.6515058215651206</v>
      </c>
      <c r="AD24" s="11">
        <v>3.6517695922561857</v>
      </c>
      <c r="AE24" s="11">
        <v>3.6608226989585515</v>
      </c>
      <c r="AF24" s="11">
        <v>3.6613052580997167</v>
      </c>
      <c r="AG24" s="11">
        <v>3.653914567911739</v>
      </c>
      <c r="AH24" s="11">
        <v>3.6539805352662587</v>
      </c>
      <c r="AI24" s="7" t="str">
        <f t="shared" si="2"/>
        <v>ALCISTA</v>
      </c>
      <c r="AJ24" s="7">
        <f t="shared" si="3"/>
      </c>
      <c r="AK24" s="7" t="str">
        <f>IF(W24&lt;&gt;"",IFERROR(INDEX(Niveles_Importancia!$A$3:$A$30,MATCH("Vela|"&amp;$E$5&amp;"|15 min",Niveles_Importancia!$H$3:$H$30,0)),"Sin clasificar"),IF(X24&lt;&gt;"",IFERROR(INDEX(Niveles_Importancia!$A$3:$A$30,MATCH($E$5&amp;"|"&amp;$E$6&amp;"|15 min",Niveles_Importancia!$H$3:$H$30,0)),"Sin clasificar"),IF(AI24&lt;&gt;"",IFERROR(INDEX(Niveles_Importancia!$A$3:$A$30,MATCH("Vela|"&amp;$E$5&amp;"|1 hora",Niveles_Importancia!$H$3:$H$30,0)),"Sin clasificar"),IF(AJ24&lt;&gt;"",IFERROR(INDEX(Niveles_Importancia!$A$3:$A$30,MATCH($E$5&amp;"|"&amp;$E$6&amp;"|1 hora",Niveles_Importancia!$H$3:$H$30,0)),"Sin clasificar"),""))))</f>
        <v>Sin clasificar</v>
      </c>
      <c r="AL24" s="7" t="str">
        <f t="shared" si="4"/>
        <v>Cruce alcista detectado en Telefónica (BME (Madrid)). La vela ha cruzado EMA 9 en 1 hora. Nivel: Sin clasificar. 31/07/yyyy 20:15</v>
      </c>
      <c r="AM24" s="7" t="str">
        <f t="shared" si="5"/>
        <v>Telefónica|1h-VelaMA1|yyyy07312015</v>
      </c>
    </row>
    <row r="25" spans="1:39" x14ac:dyDescent="0.25">
      <c r="A25" s="7">
        <v>14</v>
      </c>
      <c r="B25" s="8" t="s">
        <v>102</v>
      </c>
      <c r="C25" s="10" t="str">
        <f>IFERROR(INDEX(Universo_Activos!$A$3:$A$1022,MATCH(B25,Universo_Activos!$C$3:$C$1022,0)),"")</f>
        <v>Acciones Espana</v>
      </c>
      <c r="D25" s="10" t="str">
        <f>IFERROR(INDEX(Universo_Activos!$B$3:$B$1022,MATCH(B25,Universo_Activos!$C$3:$C$1022,0)),"")</f>
        <v>BME (Madrid)</v>
      </c>
      <c r="E25" s="10" t="str">
        <f>IFERROR(INDEX(Universo_Activos!$D$3:$D$1022,MATCH(B25,Universo_Activos!$C$3:$C$1022,0)),"")</f>
        <v>REP.MC</v>
      </c>
      <c r="F25" s="10" t="str">
        <f>IFERROR(INDEX(Universo_Activos!$E$3:$E$1022,MATCH(B25,Universo_Activos!$C$3:$C$1022,0)),"")</f>
        <v>ES0173516115</v>
      </c>
      <c r="G25" s="11">
        <v>256.21</v>
      </c>
      <c r="H25" s="12">
        <v>0.0096</v>
      </c>
      <c r="I25" s="12">
        <v>-0.0301</v>
      </c>
      <c r="J25" s="12">
        <v>-0.019</v>
      </c>
      <c r="K25" s="12">
        <v>0.0552</v>
      </c>
      <c r="L25" s="12">
        <v>0.0641</v>
      </c>
      <c r="M25" s="11">
        <v>27.09</v>
      </c>
      <c r="N25" s="11">
        <v>27.05</v>
      </c>
      <c r="O25" s="11">
        <v>27.175764467174385</v>
      </c>
      <c r="P25" s="11">
        <v>27.197205583967982</v>
      </c>
      <c r="Q25" s="11">
        <v>27.279175051660665</v>
      </c>
      <c r="R25" s="11">
        <v>27.29908821499337</v>
      </c>
      <c r="S25" s="11">
        <v>27.501243461892436</v>
      </c>
      <c r="T25" s="11">
        <v>27.518028909316616</v>
      </c>
      <c r="U25" s="11">
        <v>27.557441496721726</v>
      </c>
      <c r="V25" s="11">
        <v>27.56371587922806</v>
      </c>
      <c r="W25" s="7" t="str">
        <f t="shared" ref="W25" si="6">IF(AND(N25&lt;=P25,M25&gt;O25),"ALCISTA",IF(AND(N25&gt;=P25,M25&lt;O25),"BAJISTA",""))</f>
        <v>ALCISTA</v>
      </c>
      <c r="X25" s="7">
        <f t="shared" ref="X25" si="7">IF(AND(P25&lt;=R25,O25&gt;Q25),"ALCISTA",IF(AND(P25&gt;=R25,O25&lt;Q25),"BAJISTA",""))</f>
      </c>
      <c r="Y25" s="11">
        <v>27.09</v>
      </c>
      <c r="Z25" s="11">
        <v>27.14</v>
      </c>
      <c r="AA25" s="11">
        <v>27.36781304235138</v>
      </c>
      <c r="AB25" s="11">
        <v>27.437266302939225</v>
      </c>
      <c r="AC25" s="11">
        <v>27.572015488705794</v>
      </c>
      <c r="AD25" s="11">
        <v>27.62275396120114</v>
      </c>
      <c r="AE25" s="11">
        <v>27.47789175261768</v>
      </c>
      <c r="AF25" s="11">
        <v>27.493724069051055</v>
      </c>
      <c r="AG25" s="11">
        <v>26.674686409407524</v>
      </c>
      <c r="AH25" s="11">
        <v>26.669111730339168</v>
      </c>
      <c r="AI25" s="7" t="str">
        <f t="shared" ref="AI25" si="8">IF(AND(Z25&lt;=AB25,Y25&gt;AA25),"ALCISTA",IF(AND(Z25&gt;=AB25,Y25&lt;AA25),"BAJISTA",""))</f>
        <v>ALCISTA</v>
      </c>
      <c r="AJ25" s="7">
        <f t="shared" ref="AJ25" si="9">IF(AND(AB25&lt;=AD25,AA25&gt;AC25),"ALCISTA",IF(AND(AB25&gt;=AD25,AA25&lt;AC25),"BAJISTA",""))</f>
      </c>
      <c r="AK25" s="7" t="str">
        <f>IF(W25&lt;&gt;"",IFERROR(INDEX(Niveles_Importancia!$A$3:$A$30,MATCH("Vela|"&amp;$E$5&amp;"|15 min",Niveles_Importancia!$H$3:$H$30,0)),"Sin clasificar"),IF(X25&lt;&gt;"",IFERROR(INDEX(Niveles_Importancia!$A$3:$A$30,MATCH($E$5&amp;"|"&amp;$E$6&amp;"|15 min",Niveles_Importancia!$H$3:$H$30,0)),"Sin clasificar"),IF(AI25&lt;&gt;"",IFERROR(INDEX(Niveles_Importancia!$A$3:$A$30,MATCH("Vela|"&amp;$E$5&amp;"|1 hora",Niveles_Importancia!$H$3:$H$30,0)),"Sin clasificar"),IF(AJ25&lt;&gt;"",IFERROR(INDEX(Niveles_Importancia!$A$3:$A$30,MATCH($E$5&amp;"|"&amp;$E$6&amp;"|1 hora",Niveles_Importancia!$H$3:$H$30,0)),"Sin clasificar"),""))))</f>
        <v>Sin clasificar</v>
      </c>
      <c r="AL25" s="7" t="str">
        <f t="shared" ref="AL25" si="10">IF(W25&lt;&gt;"","Cruce "&amp;LOWER(W25)&amp;" detectado en "&amp;B25&amp;" ("&amp;D25&amp;"). La vela ha cruzado "&amp;$E$5&amp;" en 15 min. Nivel: "&amp;AK25&amp;". Precio: "&amp;TEXT(M25,"0.00")&amp;". "&amp;TEXT(NOW(),"dd/mm/yyyy hh:mm"),IF(X25&lt;&gt;"","Cruce "&amp;LOWER(X25)&amp;" detectado en "&amp;B25&amp;" ("&amp;D25&amp;"). "&amp;$E$5&amp;" ha cruzado "&amp;$E$6&amp;" en 15 min. Nivel: "&amp;AK25&amp;". "&amp;TEXT(NOW(),"dd/mm/yyyy hh:mm"),IF(AI25&lt;&gt;"","Cruce "&amp;LOWER(AI25)&amp;" detectado en "&amp;B25&amp;" ("&amp;D25&amp;"). La vela ha cruzado "&amp;$E$5&amp;" en 1 hora. Nivel: "&amp;AK25&amp;". "&amp;TEXT(NOW(),"dd/mm/yyyy hh:mm"),IF(AJ25&lt;&gt;"","Cruce "&amp;LOWER(AJ25)&amp;" detectado en "&amp;B25&amp;" ("&amp;D25&amp;"). "&amp;$E$5&amp;" ha cruzado "&amp;$E$6&amp;" en 1 hora. Nivel: "&amp;AK25&amp;". "&amp;TEXT(NOW(),"dd/mm/yyyy hh:mm"),""))))</f>
        <v>Cruce alcista detectado en Repsol (BME (Madrid)). La vela ha cruzado EMA 9 en 15 min. Nivel: Sin clasificar. Precio: 026. 31/07/yyyy 20:15</v>
      </c>
      <c r="AM25" s="7" t="str">
        <f t="shared" ref="AM25" si="11">IF(AL25="","",B25&amp;"|"&amp;IF(W25&lt;&gt;"","15min-VelaMA1",IF(X25&lt;&gt;"","15min-MA1MA2",IF(AI25&lt;&gt;"","1h-VelaMA1","1h-MA1MA2")))&amp;"|"&amp;TEXT(NOW(),"yyyymmddhhmm"))</f>
        <v>Repsol|15min-VelaMA1|yyyy07312015</v>
      </c>
    </row>
    <row r="26" spans="1:39" x14ac:dyDescent="0.25">
      <c r="A26" s="7">
        <v>15</v>
      </c>
      <c r="B26" s="8" t="s">
        <v>103</v>
      </c>
      <c r="C26" s="10" t="str">
        <f>IFERROR(INDEX(Universo_Activos!$A$3:$A$1022,MATCH(B26,Universo_Activos!$C$3:$C$1022,0)),"")</f>
        <v>Acciones Espana</v>
      </c>
      <c r="D26" s="10" t="str">
        <f>IFERROR(INDEX(Universo_Activos!$B$3:$B$1022,MATCH(B26,Universo_Activos!$C$3:$C$1022,0)),"")</f>
        <v>BME (Madrid)</v>
      </c>
      <c r="E26" s="10" t="str">
        <f>IFERROR(INDEX(Universo_Activos!$D$3:$D$1022,MATCH(B26,Universo_Activos!$C$3:$C$1022,0)),"")</f>
        <v>CABK.MC</v>
      </c>
      <c r="F26" s="10" t="str">
        <f>IFERROR(INDEX(Universo_Activos!$E$3:$E$1022,MATCH(B26,Universo_Activos!$C$3:$C$1022,0)),"")</f>
        <v>ES0140609019</v>
      </c>
      <c r="G26" s="11">
        <v>256.21</v>
      </c>
      <c r="H26" s="12">
        <v>0.0096</v>
      </c>
      <c r="I26" s="12">
        <v>-0.0301</v>
      </c>
      <c r="J26" s="12">
        <v>-0.019</v>
      </c>
      <c r="K26" s="12">
        <v>0.0552</v>
      </c>
      <c r="L26" s="12">
        <v>0.0641</v>
      </c>
      <c r="M26" s="11">
        <v>4064.3</v>
      </c>
      <c r="N26" s="11">
        <v>4064.1</v>
      </c>
      <c r="O26" s="11">
        <v>4048.1800533557953</v>
      </c>
      <c r="P26" s="11">
        <v>4044.150066694744</v>
      </c>
      <c r="Q26" s="11">
        <v>4034.4843155862477</v>
      </c>
      <c r="R26" s="11">
        <v>4031.3458224900633</v>
      </c>
      <c r="S26" s="11">
        <v>4028.2267063881523</v>
      </c>
      <c r="T26" s="11">
        <v>4026.7543270570563</v>
      </c>
      <c r="U26" s="11">
        <v>4035.212857466909</v>
      </c>
      <c r="V26" s="11">
        <v>4034.822426023512</v>
      </c>
      <c r="W26" s="7">
        <f t="shared" si="0"/>
      </c>
      <c r="X26" s="7">
        <f t="shared" si="1"/>
      </c>
      <c r="Y26" s="11">
        <v>4064.3</v>
      </c>
      <c r="Z26" s="11">
        <v>4041</v>
      </c>
      <c r="AA26" s="11">
        <v>4031.664940719321</v>
      </c>
      <c r="AB26" s="11">
        <v>4023.506175899151</v>
      </c>
      <c r="AC26" s="11">
        <v>4029.742348145646</v>
      </c>
      <c r="AD26" s="11">
        <v>4026.1047005820296</v>
      </c>
      <c r="AE26" s="11">
        <v>4039.1587375344293</v>
      </c>
      <c r="AF26" s="11">
        <v>4038.1325635562425</v>
      </c>
      <c r="AG26" s="11">
        <v>4054.6702462693756</v>
      </c>
      <c r="AH26" s="11">
        <v>4054.5409878300384</v>
      </c>
      <c r="AI26" s="7">
        <f t="shared" si="2"/>
      </c>
      <c r="AJ26" s="7" t="str">
        <f t="shared" si="3"/>
        <v>ALCISTA</v>
      </c>
      <c r="AK26" s="7">
        <f>IF(W26&lt;&gt;"",IFERROR(INDEX(Niveles_Importancia!$A$3:$A$30,MATCH("Vela|"&amp;$E$5&amp;"|15 min",Niveles_Importancia!$H$3:$H$30,0)),"Sin clasificar"),IF(X26&lt;&gt;"",IFERROR(INDEX(Niveles_Importancia!$A$3:$A$30,MATCH($E$5&amp;"|"&amp;$E$6&amp;"|15 min",Niveles_Importancia!$H$3:$H$30,0)),"Sin clasificar"),IF(AI26&lt;&gt;"",IFERROR(INDEX(Niveles_Importancia!$A$3:$A$30,MATCH("Vela|"&amp;$E$5&amp;"|1 hora",Niveles_Importancia!$H$3:$H$30,0)),"Sin clasificar"),IF(AJ26&lt;&gt;"",IFERROR(INDEX(Niveles_Importancia!$A$3:$A$30,MATCH($E$5&amp;"|"&amp;$E$6&amp;"|1 hora",Niveles_Importancia!$H$3:$H$30,0)),"Sin clasificar"),""))))</f>
        <v>1</v>
      </c>
      <c r="AL26" s="7" t="str">
        <f t="shared" si="4"/>
        <v>Cruce alcista detectado en CaixaBank  (BME (Madrid)). EMA 9 ha cruzado EMA 20 en 1 hora. Nivel: 1. 31/07/yyyy 20:15</v>
      </c>
      <c r="AM26" s="7" t="str">
        <f t="shared" si="5"/>
        <v>CaixaBank |1h-MA1MA2|yyyy07312015</v>
      </c>
    </row>
    <row r="27" spans="1:39" x14ac:dyDescent="0.25">
      <c r="A27" s="7">
        <v>16</v>
      </c>
      <c r="B27" s="8" t="s">
        <v>104</v>
      </c>
      <c r="C27" s="10" t="str">
        <f>IFERROR(INDEX(Universo_Activos!$A$3:$A$1022,MATCH(B27,Universo_Activos!$C$3:$C$1022,0)),"")</f>
        <v>Acciones Espana</v>
      </c>
      <c r="D27" s="10" t="str">
        <f>IFERROR(INDEX(Universo_Activos!$B$3:$B$1022,MATCH(B27,Universo_Activos!$C$3:$C$1022,0)),"")</f>
        <v>BME (Madrid)</v>
      </c>
      <c r="E27" s="10" t="str">
        <f>IFERROR(INDEX(Universo_Activos!$D$3:$D$1022,MATCH(B27,Universo_Activos!$C$3:$C$1022,0)),"")</f>
        <v>SAB.MC</v>
      </c>
      <c r="F27" s="10" t="str">
        <f>IFERROR(INDEX(Universo_Activos!$E$3:$E$1022,MATCH(B27,Universo_Activos!$C$3:$C$1022,0)),"")</f>
        <v>ES0113860A34</v>
      </c>
      <c r="G27" s="11">
        <v>146.67</v>
      </c>
      <c r="H27" s="12">
        <v>0.0096</v>
      </c>
      <c r="I27" s="12">
        <v>0.0679</v>
      </c>
      <c r="J27" s="12">
        <v>-0.0055</v>
      </c>
      <c r="K27" s="12">
        <v>0.0013</v>
      </c>
      <c r="L27" s="12">
        <v>0.014</v>
      </c>
      <c r="M27" s="11">
        <v>3.714</v>
      </c>
      <c r="N27" s="11">
        <v>3.722</v>
      </c>
      <c r="O27" s="11">
        <v>3.709107155650443</v>
      </c>
      <c r="P27" s="11">
        <v>3.707883944563054</v>
      </c>
      <c r="Q27" s="11">
        <v>3.699238163868554</v>
      </c>
      <c r="R27" s="11">
        <v>3.6976842863810333</v>
      </c>
      <c r="S27" s="11">
        <v>3.685225272055702</v>
      </c>
      <c r="T27" s="11">
        <v>3.684050793364098</v>
      </c>
      <c r="U27" s="11">
        <v>3.6605908173371953</v>
      </c>
      <c r="V27" s="11">
        <v>3.6598739155564863</v>
      </c>
      <c r="W27" s="7">
        <f t="shared" ref="W27:W40" si="12">IF(AND(N27&lt;=P27,M27&gt;O27),"ALCISTA",IF(AND(N27&gt;=P27,M27&lt;O27),"BAJISTA",""))</f>
      </c>
      <c r="X27" s="7">
        <f t="shared" ref="X27:X40" si="13">IF(AND(P27&lt;=R27,O27&gt;Q27),"ALCISTA",IF(AND(P27&gt;=R27,O27&lt;Q27),"BAJISTA",""))</f>
      </c>
      <c r="Y27" s="11">
        <v>3.714</v>
      </c>
      <c r="Z27" s="11">
        <v>3.709</v>
      </c>
      <c r="AA27" s="11">
        <v>3.6930844041783844</v>
      </c>
      <c r="AB27" s="11">
        <v>3.6878555052229802</v>
      </c>
      <c r="AC27" s="11">
        <v>3.678290106315059</v>
      </c>
      <c r="AD27" s="11">
        <v>3.674531170137697</v>
      </c>
      <c r="AE27" s="11">
        <v>3.6504099201893294</v>
      </c>
      <c r="AF27" s="11">
        <v>3.647814406727669</v>
      </c>
      <c r="AG27" s="11">
        <v>3.5461235830047695</v>
      </c>
      <c r="AH27" s="11">
        <v>3.5438702082800013</v>
      </c>
      <c r="AI27" s="7" t="str">
        <f t="shared" ref="AI27:AI40" si="14">IF(AND(Z27&lt;=AB27,Y27&gt;AA27),"ALCISTA",IF(AND(Z27&gt;=AB27,Y27&lt;AA27),"BAJISTA",""))</f>
        <v>BAJISTA</v>
      </c>
      <c r="AJ27" s="7">
        <f t="shared" ref="AJ27:AJ40" si="15">IF(AND(AB27&lt;=AD27,AA27&gt;AC27),"ALCISTA",IF(AND(AB27&gt;=AD27,AA27&lt;AC27),"BAJISTA",""))</f>
      </c>
      <c r="AK27" s="7" t="str">
        <f>IF(W27&lt;&gt;"",IFERROR(INDEX(Niveles_Importancia!$A$3:$A$30,MATCH("Vela|"&amp;$E$5&amp;"|15 min",Niveles_Importancia!$H$3:$H$30,0)),"Sin clasificar"),IF(X27&lt;&gt;"",IFERROR(INDEX(Niveles_Importancia!$A$3:$A$30,MATCH($E$5&amp;"|"&amp;$E$6&amp;"|15 min",Niveles_Importancia!$H$3:$H$30,0)),"Sin clasificar"),IF(AI27&lt;&gt;"",IFERROR(INDEX(Niveles_Importancia!$A$3:$A$30,MATCH("Vela|"&amp;$E$5&amp;"|1 hora",Niveles_Importancia!$H$3:$H$30,0)),"Sin clasificar"),IF(AJ27&lt;&gt;"",IFERROR(INDEX(Niveles_Importancia!$A$3:$A$30,MATCH($E$5&amp;"|"&amp;$E$6&amp;"|1 hora",Niveles_Importancia!$H$3:$H$30,0)),"Sin clasificar"),""))))</f>
        <v>Sin clasificar</v>
      </c>
      <c r="AL27" s="7" t="str">
        <f t="shared" ref="AL27:AL40" si="16">IF(W27&lt;&gt;"","Cruce "&amp;LOWER(W27)&amp;" detectado en "&amp;B27&amp;" ("&amp;D27&amp;"). La vela ha cruzado "&amp;$E$5&amp;" en 15 min. Nivel: "&amp;AK27&amp;". Precio: "&amp;TEXT(M27,"0.00")&amp;". "&amp;TEXT(NOW(),"dd/mm/yyyy hh:mm"),IF(X27&lt;&gt;"","Cruce "&amp;LOWER(X27)&amp;" detectado en "&amp;B27&amp;" ("&amp;D27&amp;"). "&amp;$E$5&amp;" ha cruzado "&amp;$E$6&amp;" en 15 min. Nivel: "&amp;AK27&amp;". "&amp;TEXT(NOW(),"dd/mm/yyyy hh:mm"),IF(AI27&lt;&gt;"","Cruce "&amp;LOWER(AI27)&amp;" detectado en "&amp;B27&amp;" ("&amp;D27&amp;"). La vela ha cruzado "&amp;$E$5&amp;" en 1 hora. Nivel: "&amp;AK27&amp;". "&amp;TEXT(NOW(),"dd/mm/yyyy hh:mm"),IF(AJ27&lt;&gt;"","Cruce "&amp;LOWER(AJ27)&amp;" detectado en "&amp;B27&amp;" ("&amp;D27&amp;"). "&amp;$E$5&amp;" ha cruzado "&amp;$E$6&amp;" en 1 hora. Nivel: "&amp;AK27&amp;". "&amp;TEXT(NOW(),"dd/mm/yyyy hh:mm"),""))))</f>
        <v>Cruce bajista detectado en Banco Sabadell (BME (Madrid)). La vela ha cruzado EMA 9 en 1 hora. Nivel: Sin clasificar. 31/07/yyyy 20:15</v>
      </c>
      <c r="AM27" s="7" t="str">
        <f t="shared" ref="AM27:AM40" si="17">IF(AL27="","",B27&amp;"|"&amp;IF(W27&lt;&gt;"","15min-VelaMA1",IF(X27&lt;&gt;"","15min-MA1MA2",IF(AI27&lt;&gt;"","1h-VelaMA1","1h-MA1MA2")))&amp;"|"&amp;TEXT(NOW(),"yyyymmddhhmm"))</f>
        <v>Banco Sabadell|1h-VelaMA1|yyyy07312015</v>
      </c>
    </row>
    <row r="28" spans="1:39" x14ac:dyDescent="0.25">
      <c r="A28" s="7">
        <v>17</v>
      </c>
      <c r="B28" s="8" t="s">
        <v>105</v>
      </c>
      <c r="C28" s="10" t="str">
        <f>IFERROR(INDEX(Universo_Activos!$A$3:$A$1022,MATCH(B28,Universo_Activos!$C$3:$C$1022,0)),"")</f>
        <v>Acciones Espana</v>
      </c>
      <c r="D28" s="10" t="str">
        <f>IFERROR(INDEX(Universo_Activos!$B$3:$B$1022,MATCH(B28,Universo_Activos!$C$3:$C$1022,0)),"")</f>
        <v>BME (Madrid)</v>
      </c>
      <c r="E28" s="10" t="str">
        <f>IFERROR(INDEX(Universo_Activos!$D$3:$D$1022,MATCH(B28,Universo_Activos!$C$3:$C$1022,0)),"")</f>
        <v>ACS.MC</v>
      </c>
      <c r="F28" s="10" t="str">
        <f>IFERROR(INDEX(Universo_Activos!$E$3:$E$1022,MATCH(B28,Universo_Activos!$C$3:$C$1022,0)),"")</f>
        <v>ES0167050915</v>
      </c>
      <c r="G28" s="11">
        <v>28.42</v>
      </c>
      <c r="H28" s="12">
        <v>-0.0058</v>
      </c>
      <c r="I28" s="12">
        <v>-0.0095</v>
      </c>
      <c r="J28" s="12">
        <v>0.0548</v>
      </c>
      <c r="K28" s="12">
        <v>0.0031</v>
      </c>
      <c r="L28" s="12">
        <v>0.0224</v>
      </c>
      <c r="M28" s="11">
        <v>104.7</v>
      </c>
      <c r="N28" s="11">
        <v>104.5</v>
      </c>
      <c r="O28" s="11">
        <v>104.58360079711747</v>
      </c>
      <c r="P28" s="11">
        <v>104.55450099639684</v>
      </c>
      <c r="Q28" s="11">
        <v>104.89362449076025</v>
      </c>
      <c r="R28" s="11">
        <v>104.91400601610343</v>
      </c>
      <c r="S28" s="11">
        <v>105.4456929370439</v>
      </c>
      <c r="T28" s="11">
        <v>105.47612938345385</v>
      </c>
      <c r="U28" s="11">
        <v>106.47860049929618</v>
      </c>
      <c r="V28" s="11">
        <v>106.50247433150149</v>
      </c>
      <c r="W28" s="7">
        <f t="shared" si="12"/>
      </c>
      <c r="X28" s="7">
        <f t="shared" si="13"/>
      </c>
      <c r="Y28" s="11">
        <v>104.7</v>
      </c>
      <c r="Z28" s="11">
        <v>104.2</v>
      </c>
      <c r="AA28" s="11">
        <v>105.12241288022265</v>
      </c>
      <c r="AB28" s="11">
        <v>105.22801610027832</v>
      </c>
      <c r="AC28" s="11">
        <v>105.66633846740517</v>
      </c>
      <c r="AD28" s="11">
        <v>105.7680583060794</v>
      </c>
      <c r="AE28" s="11">
        <v>106.69778484320915</v>
      </c>
      <c r="AF28" s="11">
        <v>106.77932708170748</v>
      </c>
      <c r="AG28" s="11">
        <v>109.12131803465657</v>
      </c>
      <c r="AH28" s="11">
        <v>109.18066458545732</v>
      </c>
      <c r="AI28" s="7" t="str">
        <f t="shared" si="14"/>
        <v>BAJISTA</v>
      </c>
      <c r="AJ28" s="7">
        <f t="shared" si="15"/>
      </c>
      <c r="AK28" s="7" t="str">
        <f>IF(W28&lt;&gt;"",IFERROR(INDEX(Niveles_Importancia!$A$3:$A$30,MATCH("Vela|"&amp;$E$5&amp;"|15 min",Niveles_Importancia!$H$3:$H$30,0)),"Sin clasificar"),IF(X28&lt;&gt;"",IFERROR(INDEX(Niveles_Importancia!$A$3:$A$30,MATCH($E$5&amp;"|"&amp;$E$6&amp;"|15 min",Niveles_Importancia!$H$3:$H$30,0)),"Sin clasificar"),IF(AI28&lt;&gt;"",IFERROR(INDEX(Niveles_Importancia!$A$3:$A$30,MATCH("Vela|"&amp;$E$5&amp;"|1 hora",Niveles_Importancia!$H$3:$H$30,0)),"Sin clasificar"),IF(AJ28&lt;&gt;"",IFERROR(INDEX(Niveles_Importancia!$A$3:$A$30,MATCH($E$5&amp;"|"&amp;$E$6&amp;"|1 hora",Niveles_Importancia!$H$3:$H$30,0)),"Sin clasificar"),""))))</f>
        <v>Sin clasificar</v>
      </c>
      <c r="AL28" s="7" t="str">
        <f t="shared" si="16"/>
        <v>Cruce bajista detectado en ACS (BME (Madrid)). La vela ha cruzado EMA 9 en 1 hora. Nivel: Sin clasificar. 31/07/yyyy 20:15</v>
      </c>
      <c r="AM28" s="7" t="str">
        <f t="shared" si="17"/>
        <v>ACS|1h-VelaMA1|yyyy07312015</v>
      </c>
    </row>
    <row r="29" spans="1:39" x14ac:dyDescent="0.25">
      <c r="A29" s="7">
        <v>18</v>
      </c>
      <c r="B29" s="8" t="s">
        <v>106</v>
      </c>
      <c r="C29" s="10" t="str">
        <f>IFERROR(INDEX(Universo_Activos!$A$3:$A$1022,MATCH(B29,Universo_Activos!$C$3:$C$1022,0)),"")</f>
        <v>Acciones Espana</v>
      </c>
      <c r="D29" s="10" t="str">
        <f>IFERROR(INDEX(Universo_Activos!$B$3:$B$1022,MATCH(B29,Universo_Activos!$C$3:$C$1022,0)),"")</f>
        <v>BME (Madrid)</v>
      </c>
      <c r="E29" s="10" t="str">
        <f>IFERROR(INDEX(Universo_Activos!$D$3:$D$1022,MATCH(B29,Universo_Activos!$C$3:$C$1022,0)),"")</f>
        <v>MTS.MC</v>
      </c>
      <c r="F29" s="10" t="str">
        <f>IFERROR(INDEX(Universo_Activos!$E$3:$E$1022,MATCH(B29,Universo_Activos!$C$3:$C$1022,0)),"")</f>
        <v>LU1598757687</v>
      </c>
      <c r="G29" s="11">
        <v>274.88</v>
      </c>
      <c r="H29" s="12">
        <v>-0.0048</v>
      </c>
      <c r="I29" s="12">
        <v>0.0769</v>
      </c>
      <c r="J29" s="12">
        <v>-0.0164</v>
      </c>
      <c r="K29" s="12">
        <v>-0.0683</v>
      </c>
      <c r="L29" s="12">
        <v>0.0207</v>
      </c>
      <c r="M29" s="11">
        <v>62.84</v>
      </c>
      <c r="N29" s="11">
        <v>62.94</v>
      </c>
      <c r="O29" s="11">
        <v>62.93680697077508</v>
      </c>
      <c r="P29" s="11">
        <v>62.96100871346885</v>
      </c>
      <c r="Q29" s="11">
        <v>62.93859982006013</v>
      </c>
      <c r="R29" s="11">
        <v>62.94897874848752</v>
      </c>
      <c r="S29" s="11">
        <v>62.76874601718461</v>
      </c>
      <c r="T29" s="11">
        <v>62.76583769135541</v>
      </c>
      <c r="U29" s="11">
        <v>62.61220370367869</v>
      </c>
      <c r="V29" s="11">
        <v>62.60914603527169</v>
      </c>
      <c r="W29" s="7" t="str">
        <f t="shared" si="12"/>
        <v>BAJISTA</v>
      </c>
      <c r="X29" s="7">
        <f t="shared" si="13"/>
      </c>
      <c r="Y29" s="11">
        <v>62.84</v>
      </c>
      <c r="Z29" s="11">
        <v>63.04</v>
      </c>
      <c r="AA29" s="11">
        <v>62.85686407141706</v>
      </c>
      <c r="AB29" s="11">
        <v>62.86108008927132</v>
      </c>
      <c r="AC29" s="11">
        <v>62.62683536755547</v>
      </c>
      <c r="AD29" s="11">
        <v>62.60439698519289</v>
      </c>
      <c r="AE29" s="11">
        <v>62.6241624840943</v>
      </c>
      <c r="AF29" s="11">
        <v>62.61535278956754</v>
      </c>
      <c r="AG29" s="11">
        <v>62.3377758857143</v>
      </c>
      <c r="AH29" s="11">
        <v>62.3310346224353</v>
      </c>
      <c r="AI29" s="7">
        <f t="shared" si="14"/>
      </c>
      <c r="AJ29" s="7">
        <f t="shared" si="15"/>
      </c>
      <c r="AK29" s="7" t="str">
        <f>IF(W29&lt;&gt;"",IFERROR(INDEX(Niveles_Importancia!$A$3:$A$30,MATCH("Vela|"&amp;$E$5&amp;"|15 min",Niveles_Importancia!$H$3:$H$30,0)),"Sin clasificar"),IF(X29&lt;&gt;"",IFERROR(INDEX(Niveles_Importancia!$A$3:$A$30,MATCH($E$5&amp;"|"&amp;$E$6&amp;"|15 min",Niveles_Importancia!$H$3:$H$30,0)),"Sin clasificar"),IF(AI29&lt;&gt;"",IFERROR(INDEX(Niveles_Importancia!$A$3:$A$30,MATCH("Vela|"&amp;$E$5&amp;"|1 hora",Niveles_Importancia!$H$3:$H$30,0)),"Sin clasificar"),IF(AJ29&lt;&gt;"",IFERROR(INDEX(Niveles_Importancia!$A$3:$A$30,MATCH($E$5&amp;"|"&amp;$E$6&amp;"|1 hora",Niveles_Importancia!$H$3:$H$30,0)),"Sin clasificar"),""))))</f>
        <v>Sin clasificar</v>
      </c>
      <c r="AL29" s="7" t="str">
        <f t="shared" si="16"/>
        <v>Cruce bajista detectado en ArcelorMittal (BME (Madrid)). La vela ha cruzado EMA 9 en 15 min. Nivel: Sin clasificar. Precio: 061. 31/07/yyyy 20:15</v>
      </c>
      <c r="AM29" s="7" t="str">
        <f t="shared" si="17"/>
        <v>ArcelorMittal|15min-VelaMA1|yyyy07312015</v>
      </c>
    </row>
    <row r="30" spans="1:39" x14ac:dyDescent="0.25">
      <c r="A30" s="7">
        <v>19</v>
      </c>
      <c r="B30" s="8" t="s">
        <v>107</v>
      </c>
      <c r="C30" s="10" t="str">
        <f>IFERROR(INDEX(Universo_Activos!$A$3:$A$1022,MATCH(B30,Universo_Activos!$C$3:$C$1022,0)),"")</f>
        <v>Acciones Espana</v>
      </c>
      <c r="D30" s="10" t="str">
        <f>IFERROR(INDEX(Universo_Activos!$B$3:$B$1022,MATCH(B30,Universo_Activos!$C$3:$C$1022,0)),"")</f>
        <v>BME (Madrid)</v>
      </c>
      <c r="E30" s="10" t="str">
        <f>IFERROR(INDEX(Universo_Activos!$D$3:$D$1022,MATCH(B30,Universo_Activos!$C$3:$C$1022,0)),"")</f>
        <v>BKT.MC</v>
      </c>
      <c r="F30" s="10" t="str">
        <f>IFERROR(INDEX(Universo_Activos!$E$3:$E$1022,MATCH(B30,Universo_Activos!$C$3:$C$1022,0)),"")</f>
        <v>ES0113679I37</v>
      </c>
      <c r="G30" s="11">
        <v>79.6</v>
      </c>
      <c r="H30" s="12">
        <v>-0.0368</v>
      </c>
      <c r="I30" s="12">
        <v>0.0753</v>
      </c>
      <c r="J30" s="12">
        <v>0.0485</v>
      </c>
      <c r="K30" s="12">
        <v>-0.0313</v>
      </c>
      <c r="L30" s="12">
        <v>0.0616</v>
      </c>
      <c r="M30" s="11">
        <v>16.955</v>
      </c>
      <c r="N30" s="11">
        <v>16.925</v>
      </c>
      <c r="O30" s="11">
        <v>16.89130073201402</v>
      </c>
      <c r="P30" s="11">
        <v>16.875375915017525</v>
      </c>
      <c r="Q30" s="11">
        <v>16.847137951384916</v>
      </c>
      <c r="R30" s="11">
        <v>16.8357840515307</v>
      </c>
      <c r="S30" s="11">
        <v>16.778795282022756</v>
      </c>
      <c r="T30" s="11">
        <v>16.77160325271756</v>
      </c>
      <c r="U30" s="11">
        <v>16.711688987730042</v>
      </c>
      <c r="V30" s="11">
        <v>16.708423068102256</v>
      </c>
      <c r="W30" s="7">
        <f t="shared" si="12"/>
      </c>
      <c r="X30" s="7">
        <f t="shared" si="13"/>
      </c>
      <c r="Y30" s="11">
        <v>16.955</v>
      </c>
      <c r="Z30" s="11">
        <v>16.9</v>
      </c>
      <c r="AA30" s="11">
        <v>16.821897619375058</v>
      </c>
      <c r="AB30" s="11">
        <v>16.788622024218824</v>
      </c>
      <c r="AC30" s="11">
        <v>16.751547575244064</v>
      </c>
      <c r="AD30" s="11">
        <v>16.730131530532912</v>
      </c>
      <c r="AE30" s="11">
        <v>16.694759107003772</v>
      </c>
      <c r="AF30" s="11">
        <v>16.684137029738622</v>
      </c>
      <c r="AG30" s="11">
        <v>16.476390898814714</v>
      </c>
      <c r="AH30" s="11">
        <v>16.469966615577327</v>
      </c>
      <c r="AI30" s="7">
        <f t="shared" si="14"/>
      </c>
      <c r="AJ30" s="7">
        <f t="shared" si="15"/>
      </c>
      <c r="AK30" s="7">
        <f>IF(W30&lt;&gt;"",IFERROR(INDEX(Niveles_Importancia!$A$3:$A$30,MATCH("Vela|"&amp;$E$5&amp;"|15 min",Niveles_Importancia!$H$3:$H$30,0)),"Sin clasificar"),IF(X30&lt;&gt;"",IFERROR(INDEX(Niveles_Importancia!$A$3:$A$30,MATCH($E$5&amp;"|"&amp;$E$6&amp;"|15 min",Niveles_Importancia!$H$3:$H$30,0)),"Sin clasificar"),IF(AI30&lt;&gt;"",IFERROR(INDEX(Niveles_Importancia!$A$3:$A$30,MATCH("Vela|"&amp;$E$5&amp;"|1 hora",Niveles_Importancia!$H$3:$H$30,0)),"Sin clasificar"),IF(AJ30&lt;&gt;"",IFERROR(INDEX(Niveles_Importancia!$A$3:$A$30,MATCH($E$5&amp;"|"&amp;$E$6&amp;"|1 hora",Niveles_Importancia!$H$3:$H$30,0)),"Sin clasificar"),""))))</f>
      </c>
      <c r="AL30" s="7">
        <f t="shared" si="16"/>
      </c>
      <c r="AM30" s="7">
        <f t="shared" si="17"/>
      </c>
    </row>
    <row r="31" spans="1:39" x14ac:dyDescent="0.25">
      <c r="A31" s="7">
        <v>20</v>
      </c>
      <c r="B31" s="8" t="s">
        <v>108</v>
      </c>
      <c r="C31" s="10" t="str">
        <f>IFERROR(INDEX(Universo_Activos!$A$3:$A$1022,MATCH(B31,Universo_Activos!$C$3:$C$1022,0)),"")</f>
        <v>Acciones Espana</v>
      </c>
      <c r="D31" s="10" t="str">
        <f>IFERROR(INDEX(Universo_Activos!$B$3:$B$1022,MATCH(B31,Universo_Activos!$C$3:$C$1022,0)),"")</f>
        <v>BME (Madrid)</v>
      </c>
      <c r="E31" s="10" t="str">
        <f>IFERROR(INDEX(Universo_Activos!$D$3:$D$1022,MATCH(B31,Universo_Activos!$C$3:$C$1022,0)),"")</f>
        <v>AENA.MC</v>
      </c>
      <c r="F31" s="10" t="str">
        <f>IFERROR(INDEX(Universo_Activos!$E$3:$E$1022,MATCH(B31,Universo_Activos!$C$3:$C$1022,0)),"")</f>
        <v>ES0105046009</v>
      </c>
      <c r="G31" s="11">
        <v>180.88</v>
      </c>
      <c r="H31" s="12">
        <v>0.0586</v>
      </c>
      <c r="I31" s="12">
        <v>-0.0507</v>
      </c>
      <c r="J31" s="12">
        <v>-0.0553</v>
      </c>
      <c r="K31" s="12">
        <v>0.0653</v>
      </c>
      <c r="L31" s="12">
        <v>0.0508</v>
      </c>
      <c r="M31" s="11">
        <v>27.24</v>
      </c>
      <c r="N31" s="11">
        <v>27.28</v>
      </c>
      <c r="O31" s="11">
        <v>27.211030699327505</v>
      </c>
      <c r="P31" s="11">
        <v>27.203788374159384</v>
      </c>
      <c r="Q31" s="11">
        <v>27.17499529120972</v>
      </c>
      <c r="R31" s="11">
        <v>27.168152690284426</v>
      </c>
      <c r="S31" s="11">
        <v>27.0752420103568</v>
      </c>
      <c r="T31" s="11">
        <v>27.068517194452994</v>
      </c>
      <c r="U31" s="11">
        <v>26.841448666679707</v>
      </c>
      <c r="V31" s="11">
        <v>26.83609898435326</v>
      </c>
      <c r="W31" s="7" t="str">
        <f t="shared" si="12"/>
        <v>BAJISTA</v>
      </c>
      <c r="X31" s="7">
        <f t="shared" si="13"/>
      </c>
      <c r="Y31" s="11">
        <v>27.24</v>
      </c>
      <c r="Z31" s="11">
        <v>27.22</v>
      </c>
      <c r="AA31" s="11">
        <v>27.145152368267524</v>
      </c>
      <c r="AB31" s="11">
        <v>27.121440460334405</v>
      </c>
      <c r="AC31" s="11">
        <v>26.997233651788672</v>
      </c>
      <c r="AD31" s="11">
        <v>26.971679299345375</v>
      </c>
      <c r="AE31" s="11">
        <v>26.78139461767444</v>
      </c>
      <c r="AF31" s="11">
        <v>26.762676030640744</v>
      </c>
      <c r="AG31" s="11">
        <v>26.670387652936306</v>
      </c>
      <c r="AH31" s="11">
        <v>26.662741849620016</v>
      </c>
      <c r="AI31" s="7">
        <f t="shared" si="14"/>
      </c>
      <c r="AJ31" s="7" t="str">
        <f t="shared" si="15"/>
        <v>BAJISTA</v>
      </c>
      <c r="AK31" s="7" t="str">
        <f>IF(W31&lt;&gt;"",IFERROR(INDEX(Niveles_Importancia!$A$3:$A$30,MATCH("Vela|"&amp;$E$5&amp;"|15 min",Niveles_Importancia!$H$3:$H$30,0)),"Sin clasificar"),IF(X31&lt;&gt;"",IFERROR(INDEX(Niveles_Importancia!$A$3:$A$30,MATCH($E$5&amp;"|"&amp;$E$6&amp;"|15 min",Niveles_Importancia!$H$3:$H$30,0)),"Sin clasificar"),IF(AI31&lt;&gt;"",IFERROR(INDEX(Niveles_Importancia!$A$3:$A$30,MATCH("Vela|"&amp;$E$5&amp;"|1 hora",Niveles_Importancia!$H$3:$H$30,0)),"Sin clasificar"),IF(AJ31&lt;&gt;"",IFERROR(INDEX(Niveles_Importancia!$A$3:$A$30,MATCH($E$5&amp;"|"&amp;$E$6&amp;"|1 hora",Niveles_Importancia!$H$3:$H$30,0)),"Sin clasificar"),""))))</f>
        <v>Sin clasificar</v>
      </c>
      <c r="AL31" s="7" t="str">
        <f t="shared" si="16"/>
        <v>Cruce bajista detectado en Aena (BME (Madrid)). La vela ha cruzado EMA 9 en 15 min. Nivel: Sin clasificar. Precio: 027. 31/07/yyyy 20:15</v>
      </c>
      <c r="AM31" s="7" t="str">
        <f t="shared" si="17"/>
        <v>Aena|15min-VelaMA1|yyyy07312015</v>
      </c>
    </row>
    <row r="32" spans="1:39" x14ac:dyDescent="0.25">
      <c r="A32" s="7">
        <v>21</v>
      </c>
      <c r="B32" s="8" t="s">
        <v>109</v>
      </c>
      <c r="C32" s="10" t="str">
        <f>IFERROR(INDEX(Universo_Activos!$A$3:$A$1022,MATCH(B32,Universo_Activos!$C$3:$C$1022,0)),"")</f>
        <v>Acciones Espana</v>
      </c>
      <c r="D32" s="10" t="str">
        <f>IFERROR(INDEX(Universo_Activos!$B$3:$B$1022,MATCH(B32,Universo_Activos!$C$3:$C$1022,0)),"")</f>
        <v>BME (Madrid)</v>
      </c>
      <c r="E32" s="10" t="str">
        <f>IFERROR(INDEX(Universo_Activos!$D$3:$D$1022,MATCH(B32,Universo_Activos!$C$3:$C$1022,0)),"")</f>
        <v>NTGY.MC</v>
      </c>
      <c r="F32" s="10" t="str">
        <f>IFERROR(INDEX(Universo_Activos!$E$3:$E$1022,MATCH(B32,Universo_Activos!$C$3:$C$1022,0)),"")</f>
        <v>ES0116870314</v>
      </c>
      <c r="G32" s="11">
        <v>39.26</v>
      </c>
      <c r="H32" s="12">
        <v>-0.0435</v>
      </c>
      <c r="I32" s="12">
        <v>0.0095</v>
      </c>
      <c r="J32" s="12">
        <v>0.0564</v>
      </c>
      <c r="K32" s="12">
        <v>0.0183</v>
      </c>
      <c r="L32" s="12">
        <v>-0.0352</v>
      </c>
      <c r="M32" s="11">
        <v>29.6</v>
      </c>
      <c r="N32" s="11">
        <v>29.52</v>
      </c>
      <c r="O32" s="11">
        <v>29.46218993635466</v>
      </c>
      <c r="P32" s="11">
        <v>29.427737420443325</v>
      </c>
      <c r="Q32" s="11">
        <v>29.434678164930705</v>
      </c>
      <c r="R32" s="11">
        <v>29.417275866502358</v>
      </c>
      <c r="S32" s="11">
        <v>29.458235288880143</v>
      </c>
      <c r="T32" s="11">
        <v>29.45244897414056</v>
      </c>
      <c r="U32" s="11">
        <v>29.451813178296742</v>
      </c>
      <c r="V32" s="11">
        <v>29.449824093441666</v>
      </c>
      <c r="W32" s="7">
        <f t="shared" si="12"/>
      </c>
      <c r="X32" s="7">
        <f t="shared" si="13"/>
      </c>
      <c r="Y32" s="11">
        <v>29.6</v>
      </c>
      <c r="Z32" s="11">
        <v>29.44</v>
      </c>
      <c r="AA32" s="11">
        <v>29.46216327468285</v>
      </c>
      <c r="AB32" s="11">
        <v>29.427704093353565</v>
      </c>
      <c r="AC32" s="11">
        <v>29.4817701962215</v>
      </c>
      <c r="AD32" s="11">
        <v>29.469324953718502</v>
      </c>
      <c r="AE32" s="11">
        <v>29.425193801221923</v>
      </c>
      <c r="AF32" s="11">
        <v>29.418058854333022</v>
      </c>
      <c r="AG32" s="11">
        <v>29.189254932620642</v>
      </c>
      <c r="AH32" s="11">
        <v>29.183741576011524</v>
      </c>
      <c r="AI32" s="7">
        <f t="shared" si="14"/>
      </c>
      <c r="AJ32" s="7">
        <f t="shared" si="15"/>
      </c>
      <c r="AK32" s="7">
        <f>IF(W32&lt;&gt;"",IFERROR(INDEX(Niveles_Importancia!$A$3:$A$30,MATCH("Vela|"&amp;$E$5&amp;"|15 min",Niveles_Importancia!$H$3:$H$30,0)),"Sin clasificar"),IF(X32&lt;&gt;"",IFERROR(INDEX(Niveles_Importancia!$A$3:$A$30,MATCH($E$5&amp;"|"&amp;$E$6&amp;"|15 min",Niveles_Importancia!$H$3:$H$30,0)),"Sin clasificar"),IF(AI32&lt;&gt;"",IFERROR(INDEX(Niveles_Importancia!$A$3:$A$30,MATCH("Vela|"&amp;$E$5&amp;"|1 hora",Niveles_Importancia!$H$3:$H$30,0)),"Sin clasificar"),IF(AJ32&lt;&gt;"",IFERROR(INDEX(Niveles_Importancia!$A$3:$A$30,MATCH($E$5&amp;"|"&amp;$E$6&amp;"|1 hora",Niveles_Importancia!$H$3:$H$30,0)),"Sin clasificar"),""))))</f>
      </c>
      <c r="AL32" s="7">
        <f t="shared" si="16"/>
      </c>
      <c r="AM32" s="7">
        <f t="shared" si="17"/>
      </c>
    </row>
    <row r="33" spans="1:39" x14ac:dyDescent="0.25">
      <c r="A33" s="7">
        <v>22</v>
      </c>
      <c r="B33" s="8" t="s">
        <v>110</v>
      </c>
      <c r="C33" s="10" t="str">
        <f>IFERROR(INDEX(Universo_Activos!$A$3:$A$1022,MATCH(B33,Universo_Activos!$C$3:$C$1022,0)),"")</f>
        <v>Acciones Espana</v>
      </c>
      <c r="D33" s="10" t="str">
        <f>IFERROR(INDEX(Universo_Activos!$B$3:$B$1022,MATCH(B33,Universo_Activos!$C$3:$C$1022,0)),"")</f>
        <v>BME (Madrid)</v>
      </c>
      <c r="E33" s="10" t="str">
        <f>IFERROR(INDEX(Universo_Activos!$D$3:$D$1022,MATCH(B33,Universo_Activos!$C$3:$C$1022,0)),"")</f>
        <v>MAP.MC</v>
      </c>
      <c r="F33" s="10" t="str">
        <f>IFERROR(INDEX(Universo_Activos!$E$3:$E$1022,MATCH(B33,Universo_Activos!$C$3:$C$1022,0)),"")</f>
        <v>ES0124244E34</v>
      </c>
      <c r="G33" s="11">
        <v>216.27</v>
      </c>
      <c r="H33" s="12">
        <v>0.074</v>
      </c>
      <c r="I33" s="12">
        <v>-0.0766</v>
      </c>
      <c r="J33" s="12">
        <v>0.0218</v>
      </c>
      <c r="K33" s="12">
        <v>-0.0028</v>
      </c>
      <c r="L33" s="12">
        <v>0.0369</v>
      </c>
      <c r="M33" s="11">
        <v>4.408</v>
      </c>
      <c r="N33" s="11">
        <v>4.408</v>
      </c>
      <c r="O33" s="11">
        <v>4.403534186538381</v>
      </c>
      <c r="P33" s="11">
        <v>4.402417733172976</v>
      </c>
      <c r="Q33" s="11">
        <v>4.397929886418692</v>
      </c>
      <c r="R33" s="11">
        <v>4.396869874462765</v>
      </c>
      <c r="S33" s="11">
        <v>4.386253572478144</v>
      </c>
      <c r="T33" s="11">
        <v>4.385365963191537</v>
      </c>
      <c r="U33" s="11">
        <v>4.380664615387368</v>
      </c>
      <c r="V33" s="11">
        <v>4.380297697473105</v>
      </c>
      <c r="W33" s="7">
        <f t="shared" si="12"/>
      </c>
      <c r="X33" s="7">
        <f t="shared" si="13"/>
      </c>
      <c r="Y33" s="11">
        <v>4.408</v>
      </c>
      <c r="Z33" s="11">
        <v>4.406</v>
      </c>
      <c r="AA33" s="11">
        <v>4.393707540677338</v>
      </c>
      <c r="AB33" s="11">
        <v>4.390134425846672</v>
      </c>
      <c r="AC33" s="11">
        <v>4.382439005836949</v>
      </c>
      <c r="AD33" s="11">
        <v>4.379748374872418</v>
      </c>
      <c r="AE33" s="11">
        <v>4.383768109802081</v>
      </c>
      <c r="AF33" s="11">
        <v>4.382779053059309</v>
      </c>
      <c r="AG33" s="11">
        <v>4.401998407457554</v>
      </c>
      <c r="AH33" s="11">
        <v>4.4019178491683935</v>
      </c>
      <c r="AI33" s="7">
        <f t="shared" si="14"/>
      </c>
      <c r="AJ33" s="7">
        <f t="shared" si="15"/>
      </c>
      <c r="AK33" s="7">
        <f>IF(W33&lt;&gt;"",IFERROR(INDEX(Niveles_Importancia!$A$3:$A$30,MATCH("Vela|"&amp;$E$5&amp;"|15 min",Niveles_Importancia!$H$3:$H$30,0)),"Sin clasificar"),IF(X33&lt;&gt;"",IFERROR(INDEX(Niveles_Importancia!$A$3:$A$30,MATCH($E$5&amp;"|"&amp;$E$6&amp;"|15 min",Niveles_Importancia!$H$3:$H$30,0)),"Sin clasificar"),IF(AI33&lt;&gt;"",IFERROR(INDEX(Niveles_Importancia!$A$3:$A$30,MATCH("Vela|"&amp;$E$5&amp;"|1 hora",Niveles_Importancia!$H$3:$H$30,0)),"Sin clasificar"),IF(AJ33&lt;&gt;"",IFERROR(INDEX(Niveles_Importancia!$A$3:$A$30,MATCH($E$5&amp;"|"&amp;$E$6&amp;"|1 hora",Niveles_Importancia!$H$3:$H$30,0)),"Sin clasificar"),""))))</f>
      </c>
      <c r="AL33" s="7">
        <f t="shared" si="16"/>
      </c>
      <c r="AM33" s="7">
        <f t="shared" si="17"/>
      </c>
    </row>
    <row r="34" spans="1:39" x14ac:dyDescent="0.25">
      <c r="A34" s="7">
        <v>23</v>
      </c>
      <c r="B34" s="8" t="s">
        <v>111</v>
      </c>
      <c r="C34" s="10" t="str">
        <f>IFERROR(INDEX(Universo_Activos!$A$3:$A$1022,MATCH(B34,Universo_Activos!$C$3:$C$1022,0)),"")</f>
        <v>Acciones Espana</v>
      </c>
      <c r="D34" s="10" t="str">
        <f>IFERROR(INDEX(Universo_Activos!$B$3:$B$1022,MATCH(B34,Universo_Activos!$C$3:$C$1022,0)),"")</f>
        <v>BME (Madrid)</v>
      </c>
      <c r="E34" s="10" t="str">
        <f>IFERROR(INDEX(Universo_Activos!$D$3:$D$1022,MATCH(B34,Universo_Activos!$C$3:$C$1022,0)),"")</f>
        <v>ANA.MC</v>
      </c>
      <c r="F34" s="10" t="str">
        <f>IFERROR(INDEX(Universo_Activos!$E$3:$E$1022,MATCH(B34,Universo_Activos!$C$3:$C$1022,0)),"")</f>
        <v>ES0125220311</v>
      </c>
      <c r="G34" s="11">
        <v>183.15</v>
      </c>
      <c r="H34" s="12">
        <v>0.0174</v>
      </c>
      <c r="I34" s="12">
        <v>-0.0672</v>
      </c>
      <c r="J34" s="12">
        <v>0.0223</v>
      </c>
      <c r="K34" s="12">
        <v>0.0789</v>
      </c>
      <c r="L34" s="12">
        <v>0.0608</v>
      </c>
      <c r="M34" s="11">
        <v>209.8</v>
      </c>
      <c r="N34" s="11">
        <v>209.4</v>
      </c>
      <c r="O34" s="11">
        <v>209.34476873564245</v>
      </c>
      <c r="P34" s="11">
        <v>209.23096091955304</v>
      </c>
      <c r="Q34" s="11">
        <v>209.5012804136819</v>
      </c>
      <c r="R34" s="11">
        <v>209.46983624670105</v>
      </c>
      <c r="S34" s="11">
        <v>210.05797037974634</v>
      </c>
      <c r="T34" s="11">
        <v>210.0684997830013</v>
      </c>
      <c r="U34" s="11">
        <v>210.4920251118527</v>
      </c>
      <c r="V34" s="11">
        <v>210.50131403952858</v>
      </c>
      <c r="W34" s="7">
        <f t="shared" si="12"/>
      </c>
      <c r="X34" s="7">
        <f t="shared" si="13"/>
      </c>
      <c r="Y34" s="11">
        <v>209.8</v>
      </c>
      <c r="Z34" s="11">
        <v>209.4</v>
      </c>
      <c r="AA34" s="11">
        <v>209.85319310035783</v>
      </c>
      <c r="AB34" s="11">
        <v>209.86649137544728</v>
      </c>
      <c r="AC34" s="11">
        <v>210.23772182794875</v>
      </c>
      <c r="AD34" s="11">
        <v>210.2837978098381</v>
      </c>
      <c r="AE34" s="11">
        <v>210.60627006809298</v>
      </c>
      <c r="AF34" s="11">
        <v>210.63917905046412</v>
      </c>
      <c r="AG34" s="11">
        <v>216.88421248606787</v>
      </c>
      <c r="AH34" s="11">
        <v>216.979302586552</v>
      </c>
      <c r="AI34" s="7">
        <f t="shared" si="14"/>
      </c>
      <c r="AJ34" s="7">
        <f t="shared" si="15"/>
      </c>
      <c r="AK34" s="7">
        <f>IF(W34&lt;&gt;"",IFERROR(INDEX(Niveles_Importancia!$A$3:$A$30,MATCH("Vela|"&amp;$E$5&amp;"|15 min",Niveles_Importancia!$H$3:$H$30,0)),"Sin clasificar"),IF(X34&lt;&gt;"",IFERROR(INDEX(Niveles_Importancia!$A$3:$A$30,MATCH($E$5&amp;"|"&amp;$E$6&amp;"|15 min",Niveles_Importancia!$H$3:$H$30,0)),"Sin clasificar"),IF(AI34&lt;&gt;"",IFERROR(INDEX(Niveles_Importancia!$A$3:$A$30,MATCH("Vela|"&amp;$E$5&amp;"|1 hora",Niveles_Importancia!$H$3:$H$30,0)),"Sin clasificar"),IF(AJ34&lt;&gt;"",IFERROR(INDEX(Niveles_Importancia!$A$3:$A$30,MATCH($E$5&amp;"|"&amp;$E$6&amp;"|1 hora",Niveles_Importancia!$H$3:$H$30,0)),"Sin clasificar"),""))))</f>
      </c>
      <c r="AL34" s="7">
        <f t="shared" si="16"/>
      </c>
      <c r="AM34" s="7">
        <f t="shared" si="17"/>
      </c>
    </row>
    <row r="35" spans="1:39" x14ac:dyDescent="0.25">
      <c r="A35" s="7">
        <v>24</v>
      </c>
      <c r="B35" s="8" t="s">
        <v>112</v>
      </c>
      <c r="C35" s="10" t="str">
        <f>IFERROR(INDEX(Universo_Activos!$A$3:$A$1022,MATCH(B35,Universo_Activos!$C$3:$C$1022,0)),"")</f>
        <v>Acciones Espana</v>
      </c>
      <c r="D35" s="10" t="str">
        <f>IFERROR(INDEX(Universo_Activos!$B$3:$B$1022,MATCH(B35,Universo_Activos!$C$3:$C$1022,0)),"")</f>
        <v>BME (Madrid)</v>
      </c>
      <c r="E35" s="10" t="str">
        <f>IFERROR(INDEX(Universo_Activos!$D$3:$D$1022,MATCH(B35,Universo_Activos!$C$3:$C$1022,0)),"")</f>
        <v>IDR.MC</v>
      </c>
      <c r="F35" s="10" t="str">
        <f>IFERROR(INDEX(Universo_Activos!$E$3:$E$1022,MATCH(B35,Universo_Activos!$C$3:$C$1022,0)),"")</f>
        <v>ES0118594417</v>
      </c>
      <c r="G35" s="11">
        <v>76.72</v>
      </c>
      <c r="H35" s="12">
        <v>-0.0529</v>
      </c>
      <c r="I35" s="12">
        <v>0.0649</v>
      </c>
      <c r="J35" s="12">
        <v>0.0256</v>
      </c>
      <c r="K35" s="12">
        <v>-0.0093</v>
      </c>
      <c r="L35" s="12">
        <v>0.0627</v>
      </c>
      <c r="M35" s="11">
        <v>60.56</v>
      </c>
      <c r="N35" s="11">
        <v>60.56</v>
      </c>
      <c r="O35" s="11">
        <v>60.56052122004516</v>
      </c>
      <c r="P35" s="11">
        <v>60.56065152505645</v>
      </c>
      <c r="Q35" s="11">
        <v>60.69843792895754</v>
      </c>
      <c r="R35" s="11">
        <v>60.713010342532016</v>
      </c>
      <c r="S35" s="11">
        <v>60.89551941916056</v>
      </c>
      <c r="T35" s="11">
        <v>60.909214089330376</v>
      </c>
      <c r="U35" s="11">
        <v>61.59039331221273</v>
      </c>
      <c r="V35" s="11">
        <v>61.604224094927</v>
      </c>
      <c r="W35" s="7">
        <f t="shared" si="12"/>
      </c>
      <c r="X35" s="7">
        <f t="shared" si="13"/>
      </c>
      <c r="Y35" s="11">
        <v>60.56</v>
      </c>
      <c r="Z35" s="11">
        <v>60.72</v>
      </c>
      <c r="AA35" s="11">
        <v>60.82953975123796</v>
      </c>
      <c r="AB35" s="11">
        <v>60.89692468904745</v>
      </c>
      <c r="AC35" s="11">
        <v>61.0188885824313</v>
      </c>
      <c r="AD35" s="11">
        <v>61.06719264373986</v>
      </c>
      <c r="AE35" s="11">
        <v>61.7602184551961</v>
      </c>
      <c r="AF35" s="11">
        <v>61.809206963571455</v>
      </c>
      <c r="AG35" s="11">
        <v>60.92572556374753</v>
      </c>
      <c r="AH35" s="11">
        <v>60.93063463171729</v>
      </c>
      <c r="AI35" s="7">
        <f t="shared" si="14"/>
      </c>
      <c r="AJ35" s="7">
        <f t="shared" si="15"/>
      </c>
      <c r="AK35" s="7">
        <f>IF(W35&lt;&gt;"",IFERROR(INDEX(Niveles_Importancia!$A$3:$A$30,MATCH("Vela|"&amp;$E$5&amp;"|15 min",Niveles_Importancia!$H$3:$H$30,0)),"Sin clasificar"),IF(X35&lt;&gt;"",IFERROR(INDEX(Niveles_Importancia!$A$3:$A$30,MATCH($E$5&amp;"|"&amp;$E$6&amp;"|15 min",Niveles_Importancia!$H$3:$H$30,0)),"Sin clasificar"),IF(AI35&lt;&gt;"",IFERROR(INDEX(Niveles_Importancia!$A$3:$A$30,MATCH("Vela|"&amp;$E$5&amp;"|1 hora",Niveles_Importancia!$H$3:$H$30,0)),"Sin clasificar"),IF(AJ35&lt;&gt;"",IFERROR(INDEX(Niveles_Importancia!$A$3:$A$30,MATCH($E$5&amp;"|"&amp;$E$6&amp;"|1 hora",Niveles_Importancia!$H$3:$H$30,0)),"Sin clasificar"),""))))</f>
      </c>
      <c r="AL35" s="7">
        <f t="shared" si="16"/>
      </c>
      <c r="AM35" s="7">
        <f t="shared" si="17"/>
      </c>
    </row>
    <row r="36" spans="1:39" x14ac:dyDescent="0.25">
      <c r="A36" s="7">
        <v>25</v>
      </c>
      <c r="B36" s="8" t="s">
        <v>113</v>
      </c>
      <c r="C36" s="10" t="str">
        <f>IFERROR(INDEX(Universo_Activos!$A$3:$A$1022,MATCH(B36,Universo_Activos!$C$3:$C$1022,0)),"")</f>
        <v>Acciones Espana</v>
      </c>
      <c r="D36" s="10" t="str">
        <f>IFERROR(INDEX(Universo_Activos!$B$3:$B$1022,MATCH(B36,Universo_Activos!$C$3:$C$1022,0)),"")</f>
        <v>BME (Madrid)</v>
      </c>
      <c r="E36" s="10" t="str">
        <f>IFERROR(INDEX(Universo_Activos!$D$3:$D$1022,MATCH(B36,Universo_Activos!$C$3:$C$1022,0)),"")</f>
        <v>IAG.MC</v>
      </c>
      <c r="F36" s="10" t="str">
        <f>IFERROR(INDEX(Universo_Activos!$E$3:$E$1022,MATCH(B36,Universo_Activos!$C$3:$C$1022,0)),"")</f>
        <v>ES0177542018</v>
      </c>
      <c r="G36" s="11">
        <v>79.94</v>
      </c>
      <c r="H36" s="12">
        <v>-0.0138</v>
      </c>
      <c r="I36" s="12">
        <v>0.0201</v>
      </c>
      <c r="J36" s="12">
        <v>-0.001</v>
      </c>
      <c r="K36" s="12">
        <v>-0.0295</v>
      </c>
      <c r="L36" s="12">
        <v>0.0543</v>
      </c>
      <c r="M36" s="11">
        <v>5.046</v>
      </c>
      <c r="N36" s="11">
        <v>5.054</v>
      </c>
      <c r="O36" s="11">
        <v>5.041279826555292</v>
      </c>
      <c r="P36" s="11">
        <v>5.0400997831941154</v>
      </c>
      <c r="Q36" s="11">
        <v>5.0323799004461245</v>
      </c>
      <c r="R36" s="11">
        <v>5.030946205756243</v>
      </c>
      <c r="S36" s="11">
        <v>5.006589443654431</v>
      </c>
      <c r="T36" s="11">
        <v>5.004980849517877</v>
      </c>
      <c r="U36" s="11">
        <v>5.007031025942951</v>
      </c>
      <c r="V36" s="11">
        <v>5.006507952465675</v>
      </c>
      <c r="W36" s="7">
        <f t="shared" si="12"/>
      </c>
      <c r="X36" s="7">
        <f t="shared" si="13"/>
      </c>
      <c r="Y36" s="11">
        <v>5.046</v>
      </c>
      <c r="Z36" s="11">
        <v>5.048</v>
      </c>
      <c r="AA36" s="11">
        <v>5.022015071269739</v>
      </c>
      <c r="AB36" s="11">
        <v>5.016018839087174</v>
      </c>
      <c r="AC36" s="11">
        <v>4.998276004593389</v>
      </c>
      <c r="AD36" s="11">
        <v>4.993252426129535</v>
      </c>
      <c r="AE36" s="11">
        <v>5.016125043668805</v>
      </c>
      <c r="AF36" s="11">
        <v>5.0149056576961035</v>
      </c>
      <c r="AG36" s="11">
        <v>5.091657127097314</v>
      </c>
      <c r="AH36" s="11">
        <v>5.092269974440902</v>
      </c>
      <c r="AI36" s="7">
        <f t="shared" si="14"/>
      </c>
      <c r="AJ36" s="7">
        <f t="shared" si="15"/>
      </c>
      <c r="AK36" s="7">
        <f>IF(W36&lt;&gt;"",IFERROR(INDEX(Niveles_Importancia!$A$3:$A$30,MATCH("Vela|"&amp;$E$5&amp;"|15 min",Niveles_Importancia!$H$3:$H$30,0)),"Sin clasificar"),IF(X36&lt;&gt;"",IFERROR(INDEX(Niveles_Importancia!$A$3:$A$30,MATCH($E$5&amp;"|"&amp;$E$6&amp;"|15 min",Niveles_Importancia!$H$3:$H$30,0)),"Sin clasificar"),IF(AI36&lt;&gt;"",IFERROR(INDEX(Niveles_Importancia!$A$3:$A$30,MATCH("Vela|"&amp;$E$5&amp;"|1 hora",Niveles_Importancia!$H$3:$H$30,0)),"Sin clasificar"),IF(AJ36&lt;&gt;"",IFERROR(INDEX(Niveles_Importancia!$A$3:$A$30,MATCH($E$5&amp;"|"&amp;$E$6&amp;"|1 hora",Niveles_Importancia!$H$3:$H$30,0)),"Sin clasificar"),""))))</f>
      </c>
      <c r="AL36" s="7">
        <f t="shared" si="16"/>
      </c>
      <c r="AM36" s="7">
        <f t="shared" si="17"/>
      </c>
    </row>
    <row r="37" spans="1:39" x14ac:dyDescent="0.25">
      <c r="A37" s="7">
        <v>26</v>
      </c>
      <c r="B37" s="8" t="s">
        <v>114</v>
      </c>
      <c r="C37" s="10" t="str">
        <f>IFERROR(INDEX(Universo_Activos!$A$3:$A$1022,MATCH(B37,Universo_Activos!$C$3:$C$1022,0)),"")</f>
        <v>Acciones Espana</v>
      </c>
      <c r="D37" s="10" t="str">
        <f>IFERROR(INDEX(Universo_Activos!$B$3:$B$1022,MATCH(B37,Universo_Activos!$C$3:$C$1022,0)),"")</f>
        <v>BME (Madrid)</v>
      </c>
      <c r="E37" s="10" t="str">
        <f>IFERROR(INDEX(Universo_Activos!$D$3:$D$1022,MATCH(B37,Universo_Activos!$C$3:$C$1022,0)),"")</f>
        <v>UNI.MC</v>
      </c>
      <c r="F37" s="10" t="str">
        <f>IFERROR(INDEX(Universo_Activos!$E$3:$E$1022,MATCH(B37,Universo_Activos!$C$3:$C$1022,0)),"")</f>
        <v>ES0180907000</v>
      </c>
      <c r="G37" s="11">
        <v>196.39</v>
      </c>
      <c r="H37" s="12">
        <v>0.0248</v>
      </c>
      <c r="I37" s="12">
        <v>0.0492</v>
      </c>
      <c r="J37" s="12">
        <v>0.0734</v>
      </c>
      <c r="K37" s="12">
        <v>0.0295</v>
      </c>
      <c r="L37" s="12">
        <v>-0.0481</v>
      </c>
      <c r="M37" s="11">
        <v>3.596</v>
      </c>
      <c r="N37" s="11">
        <v>3.602</v>
      </c>
      <c r="O37" s="11">
        <v>3.593306229394959</v>
      </c>
      <c r="P37" s="11">
        <v>3.592632786743699</v>
      </c>
      <c r="Q37" s="11">
        <v>3.588132860836583</v>
      </c>
      <c r="R37" s="11">
        <v>3.5873047409246444</v>
      </c>
      <c r="S37" s="11">
        <v>3.577546393861937</v>
      </c>
      <c r="T37" s="11">
        <v>3.5767931854481385</v>
      </c>
      <c r="U37" s="11">
        <v>3.5705152973722587</v>
      </c>
      <c r="V37" s="11">
        <v>3.57017322082692</v>
      </c>
      <c r="W37" s="7">
        <f t="shared" si="12"/>
      </c>
      <c r="X37" s="7" t="str">
        <f t="shared" si="13"/>
        <v>BAJISTA</v>
      </c>
      <c r="Y37" s="11">
        <v>3.596</v>
      </c>
      <c r="Z37" s="11">
        <v>3.592</v>
      </c>
      <c r="AA37" s="11">
        <v>3.583318379228529</v>
      </c>
      <c r="AB37" s="11">
        <v>3.580147974035661</v>
      </c>
      <c r="AC37" s="11">
        <v>3.5730361529806336</v>
      </c>
      <c r="AD37" s="11">
        <v>3.5706189059259636</v>
      </c>
      <c r="AE37" s="11">
        <v>3.5676388859604202</v>
      </c>
      <c r="AF37" s="11">
        <v>3.5664812894690088</v>
      </c>
      <c r="AG37" s="11">
        <v>3.5122466991974135</v>
      </c>
      <c r="AH37" s="11">
        <v>3.511122493817513</v>
      </c>
      <c r="AI37" s="7">
        <f t="shared" si="14"/>
      </c>
      <c r="AJ37" s="7">
        <f t="shared" si="15"/>
      </c>
      <c r="AK37" s="7">
        <f>IF(W37&lt;&gt;"",IFERROR(INDEX(Niveles_Importancia!$A$3:$A$30,MATCH("Vela|"&amp;$E$5&amp;"|15 min",Niveles_Importancia!$H$3:$H$30,0)),"Sin clasificar"),IF(X37&lt;&gt;"",IFERROR(INDEX(Niveles_Importancia!$A$3:$A$30,MATCH($E$5&amp;"|"&amp;$E$6&amp;"|15 min",Niveles_Importancia!$H$3:$H$30,0)),"Sin clasificar"),IF(AI37&lt;&gt;"",IFERROR(INDEX(Niveles_Importancia!$A$3:$A$30,MATCH("Vela|"&amp;$E$5&amp;"|1 hora",Niveles_Importancia!$H$3:$H$30,0)),"Sin clasificar"),IF(AJ37&lt;&gt;"",IFERROR(INDEX(Niveles_Importancia!$A$3:$A$30,MATCH($E$5&amp;"|"&amp;$E$6&amp;"|1 hora",Niveles_Importancia!$H$3:$H$30,0)),"Sin clasificar"),""))))</f>
        <v>1</v>
      </c>
      <c r="AL37" s="7" t="str">
        <f t="shared" si="16"/>
        <v>Cruce bajista detectado en Unicaja Banco (BME (Madrid)). EMA 9 ha cruzado EMA 20 en 15 min. Nivel: 1. 31/07/yyyy 20:15</v>
      </c>
      <c r="AM37" s="7" t="str">
        <f t="shared" si="17"/>
        <v>Unicaja Banco|15min-MA1MA2|yyyy07312015</v>
      </c>
    </row>
    <row r="38" spans="1:39" x14ac:dyDescent="0.25">
      <c r="A38" s="7">
        <v>27</v>
      </c>
      <c r="B38" s="8" t="s">
        <v>115</v>
      </c>
      <c r="C38" s="10" t="str">
        <f>IFERROR(INDEX(Universo_Activos!$A$3:$A$1022,MATCH(B38,Universo_Activos!$C$3:$C$1022,0)),"")</f>
        <v>Acciones Espana</v>
      </c>
      <c r="D38" s="10" t="str">
        <f>IFERROR(INDEX(Universo_Activos!$B$3:$B$1022,MATCH(B38,Universo_Activos!$C$3:$C$1022,0)),"")</f>
        <v>BME (Madrid)</v>
      </c>
      <c r="E38" s="10" t="str">
        <f>IFERROR(INDEX(Universo_Activos!$D$3:$D$1022,MATCH(B38,Universo_Activos!$C$3:$C$1022,0)),"")</f>
        <v>ACX.MC</v>
      </c>
      <c r="F38" s="10" t="str">
        <f>IFERROR(INDEX(Universo_Activos!$E$3:$E$1022,MATCH(B38,Universo_Activos!$C$3:$C$1022,0)),"")</f>
        <v>ES0132105018</v>
      </c>
      <c r="G38" s="11">
        <v>195.15</v>
      </c>
      <c r="H38" s="12">
        <v>0.0656</v>
      </c>
      <c r="I38" s="12">
        <v>-0.0197</v>
      </c>
      <c r="J38" s="12">
        <v>0.011</v>
      </c>
      <c r="K38" s="12">
        <v>0.0607</v>
      </c>
      <c r="L38" s="12">
        <v>0.0475</v>
      </c>
      <c r="M38" s="11">
        <v>17.18</v>
      </c>
      <c r="N38" s="11">
        <v>17.2</v>
      </c>
      <c r="O38" s="11">
        <v>17.216933369854928</v>
      </c>
      <c r="P38" s="11">
        <v>17.22616671231866</v>
      </c>
      <c r="Q38" s="11">
        <v>17.244638495542084</v>
      </c>
      <c r="R38" s="11">
        <v>17.251442547704407</v>
      </c>
      <c r="S38" s="11">
        <v>17.245661476999135</v>
      </c>
      <c r="T38" s="11">
        <v>17.248341537284816</v>
      </c>
      <c r="U38" s="11">
        <v>17.364715555882785</v>
      </c>
      <c r="V38" s="11">
        <v>17.367194959317455</v>
      </c>
      <c r="W38" s="7" t="str">
        <f t="shared" si="12"/>
        <v>ALCISTA</v>
      </c>
      <c r="X38" s="7">
        <f t="shared" si="13"/>
      </c>
      <c r="Y38" s="11">
        <v>17.18</v>
      </c>
      <c r="Z38" s="11">
        <v>17.21</v>
      </c>
      <c r="AA38" s="11">
        <v>17.233003580334934</v>
      </c>
      <c r="AB38" s="11">
        <v>17.246254475418667</v>
      </c>
      <c r="AC38" s="11">
        <v>17.239660451973915</v>
      </c>
      <c r="AD38" s="11">
        <v>17.245940499550116</v>
      </c>
      <c r="AE38" s="11">
        <v>17.416671553041578</v>
      </c>
      <c r="AF38" s="11">
        <v>17.42633161643103</v>
      </c>
      <c r="AG38" s="11">
        <v>17.586168021184548</v>
      </c>
      <c r="AH38" s="11">
        <v>17.59161994093199</v>
      </c>
      <c r="AI38" s="7">
        <f t="shared" si="14"/>
      </c>
      <c r="AJ38" s="7">
        <f t="shared" si="15"/>
      </c>
      <c r="AK38" s="7" t="str">
        <f>IF(W38&lt;&gt;"",IFERROR(INDEX(Niveles_Importancia!$A$3:$A$30,MATCH("Vela|"&amp;$E$5&amp;"|15 min",Niveles_Importancia!$H$3:$H$30,0)),"Sin clasificar"),IF(X38&lt;&gt;"",IFERROR(INDEX(Niveles_Importancia!$A$3:$A$30,MATCH($E$5&amp;"|"&amp;$E$6&amp;"|15 min",Niveles_Importancia!$H$3:$H$30,0)),"Sin clasificar"),IF(AI38&lt;&gt;"",IFERROR(INDEX(Niveles_Importancia!$A$3:$A$30,MATCH("Vela|"&amp;$E$5&amp;"|1 hora",Niveles_Importancia!$H$3:$H$30,0)),"Sin clasificar"),IF(AJ38&lt;&gt;"",IFERROR(INDEX(Niveles_Importancia!$A$3:$A$30,MATCH($E$5&amp;"|"&amp;$E$6&amp;"|1 hora",Niveles_Importancia!$H$3:$H$30,0)),"Sin clasificar"),""))))</f>
        <v>Sin clasificar</v>
      </c>
      <c r="AL38" s="7" t="str">
        <f t="shared" si="16"/>
        <v>Cruce alcista detectado en Acerinox (BME (Madrid)). La vela ha cruzado EMA 9 en 15 min. Nivel: Sin clasificar. Precio: 017. 31/07/yyyy 20:15</v>
      </c>
      <c r="AM38" s="7" t="str">
        <f t="shared" si="17"/>
        <v>Acerinox|15min-VelaMA1|yyyy07312015</v>
      </c>
    </row>
    <row r="39" spans="1:39" x14ac:dyDescent="0.25">
      <c r="A39" s="7">
        <v>28</v>
      </c>
      <c r="B39" s="8" t="s">
        <v>116</v>
      </c>
      <c r="C39" s="10" t="str">
        <f>IFERROR(INDEX(Universo_Activos!$A$3:$A$1022,MATCH(B39,Universo_Activos!$C$3:$C$1022,0)),"")</f>
        <v>Criptomonedas</v>
      </c>
      <c r="D39" s="10" t="str">
        <f>IFERROR(INDEX(Universo_Activos!$B$3:$B$1022,MATCH(B39,Universo_Activos!$C$3:$C$1022,0)),"")</f>
        <v>Exchange Cripto</v>
      </c>
      <c r="E39" s="10" t="str">
        <f>IFERROR(INDEX(Universo_Activos!$D$3:$D$1022,MATCH(B39,Universo_Activos!$C$3:$C$1022,0)),"")</f>
        <v>BTCUSD</v>
      </c>
      <c r="F39" s="10" t="str">
        <f>IFERROR(INDEX(Universo_Activos!$E$3:$E$1022,MATCH(B39,Universo_Activos!$C$3:$C$1022,0)),"")</f>
        <v>N/A (criptoactivo, sin ISIN)</v>
      </c>
      <c r="G39" s="11">
        <v>174.08</v>
      </c>
      <c r="H39" s="12">
        <v>0.0429</v>
      </c>
      <c r="I39" s="12">
        <v>-0.002</v>
      </c>
      <c r="J39" s="12">
        <v>-0.0755</v>
      </c>
      <c r="K39" s="12">
        <v>0.0495</v>
      </c>
      <c r="L39" s="12">
        <v>-0.0698</v>
      </c>
      <c r="M39" s="11">
        <v>79077.78</v>
      </c>
      <c r="N39" s="11">
        <v>79016</v>
      </c>
      <c r="O39" s="11">
        <v>79000.91331435199</v>
      </c>
      <c r="P39" s="11">
        <v>78981.69664293998</v>
      </c>
      <c r="Q39" s="11">
        <v>78969.21478056713</v>
      </c>
      <c r="R39" s="11">
        <v>78957.78686273209</v>
      </c>
      <c r="S39" s="11">
        <v>78531.64596940037</v>
      </c>
      <c r="T39" s="11">
        <v>78509.35478447794</v>
      </c>
      <c r="U39" s="11">
        <v>77860.73520909846</v>
      </c>
      <c r="V39" s="11">
        <v>77844.39903740851</v>
      </c>
      <c r="W39" s="7">
        <f t="shared" si="12"/>
      </c>
      <c r="X39" s="7">
        <f t="shared" si="13"/>
      </c>
      <c r="Y39" s="11">
        <v>79077.78</v>
      </c>
      <c r="Z39" s="11">
        <v>78754.8</v>
      </c>
      <c r="AA39" s="11">
        <v>78707.79399539546</v>
      </c>
      <c r="AB39" s="11">
        <v>78615.29749424433</v>
      </c>
      <c r="AC39" s="11">
        <v>78211.7558743314</v>
      </c>
      <c r="AD39" s="11">
        <v>78120.5954400505</v>
      </c>
      <c r="AE39" s="11">
        <v>77483.97866967537</v>
      </c>
      <c r="AF39" s="11">
        <v>77418.92555415192</v>
      </c>
      <c r="AG39" s="11">
        <v>74095.04988620337</v>
      </c>
      <c r="AH39" s="11">
        <v>74028.1676027967</v>
      </c>
      <c r="AI39" s="7">
        <f t="shared" si="14"/>
      </c>
      <c r="AJ39" s="7">
        <f t="shared" si="15"/>
      </c>
      <c r="AK39" s="7">
        <f>IF(W39&lt;&gt;"",IFERROR(INDEX(Niveles_Importancia!$A$3:$A$30,MATCH("Vela|"&amp;$E$5&amp;"|15 min",Niveles_Importancia!$H$3:$H$30,0)),"Sin clasificar"),IF(X39&lt;&gt;"",IFERROR(INDEX(Niveles_Importancia!$A$3:$A$30,MATCH($E$5&amp;"|"&amp;$E$6&amp;"|15 min",Niveles_Importancia!$H$3:$H$30,0)),"Sin clasificar"),IF(AI39&lt;&gt;"",IFERROR(INDEX(Niveles_Importancia!$A$3:$A$30,MATCH("Vela|"&amp;$E$5&amp;"|1 hora",Niveles_Importancia!$H$3:$H$30,0)),"Sin clasificar"),IF(AJ39&lt;&gt;"",IFERROR(INDEX(Niveles_Importancia!$A$3:$A$30,MATCH($E$5&amp;"|"&amp;$E$6&amp;"|1 hora",Niveles_Importancia!$H$3:$H$30,0)),"Sin clasificar"),""))))</f>
      </c>
      <c r="AL39" s="7">
        <f t="shared" si="16"/>
      </c>
      <c r="AM39" s="7">
        <f t="shared" si="17"/>
      </c>
    </row>
    <row r="40" spans="1:39" x14ac:dyDescent="0.25">
      <c r="A40" s="7">
        <v>29</v>
      </c>
      <c r="B40" s="8" t="s">
        <v>117</v>
      </c>
      <c r="C40" s="10" t="str">
        <f>IFERROR(INDEX(Universo_Activos!$A$3:$A$1022,MATCH(B40,Universo_Activos!$C$3:$C$1022,0)),"")</f>
        <v>Criptomonedas</v>
      </c>
      <c r="D40" s="10" t="str">
        <f>IFERROR(INDEX(Universo_Activos!$B$3:$B$1022,MATCH(B40,Universo_Activos!$C$3:$C$1022,0)),"")</f>
        <v>Exchange Cripto</v>
      </c>
      <c r="E40" s="10" t="str">
        <f>IFERROR(INDEX(Universo_Activos!$D$3:$D$1022,MATCH(B40,Universo_Activos!$C$3:$C$1022,0)),"")</f>
        <v>ETHUSD</v>
      </c>
      <c r="F40" s="10" t="str">
        <f>IFERROR(INDEX(Universo_Activos!$E$3:$E$1022,MATCH(B40,Universo_Activos!$C$3:$C$1022,0)),"")</f>
        <v>N/A (criptoactivo, sin ISIN)</v>
      </c>
      <c r="G40" s="11">
        <v>256.21</v>
      </c>
      <c r="H40" s="12">
        <v>0.0096</v>
      </c>
      <c r="I40" s="12">
        <v>-0.0301</v>
      </c>
      <c r="J40" s="12">
        <v>-0.019</v>
      </c>
      <c r="K40" s="12">
        <v>0.0552</v>
      </c>
      <c r="L40" s="12">
        <v>0.0641</v>
      </c>
      <c r="M40" s="11">
        <v>2481.24</v>
      </c>
      <c r="N40" s="11">
        <v>2479.63</v>
      </c>
      <c r="O40" s="11">
        <v>2479.2925533886396</v>
      </c>
      <c r="P40" s="11">
        <v>2478.8056917357994</v>
      </c>
      <c r="Q40" s="11">
        <v>2484.50773041267</v>
      </c>
      <c r="R40" s="11">
        <v>2484.8517020350564</v>
      </c>
      <c r="S40" s="11">
        <v>2479.737021566989</v>
      </c>
      <c r="T40" s="11">
        <v>2479.675675508499</v>
      </c>
      <c r="U40" s="11">
        <v>2461.0302856568596</v>
      </c>
      <c r="V40" s="11">
        <v>2460.7590143233947</v>
      </c>
      <c r="W40" s="7">
        <f t="shared" si="12"/>
      </c>
      <c r="X40" s="7">
        <f t="shared" si="13"/>
      </c>
      <c r="Y40" s="11">
        <v>2481.24</v>
      </c>
      <c r="Z40" s="11">
        <v>2468.67</v>
      </c>
      <c r="AA40" s="11">
        <v>2480.666678626448</v>
      </c>
      <c r="AB40" s="11">
        <v>2480.5233482830604</v>
      </c>
      <c r="AC40" s="11">
        <v>2470.5305532459897</v>
      </c>
      <c r="AD40" s="11">
        <v>2469.403243061357</v>
      </c>
      <c r="AE40" s="11">
        <v>2446.3616535061874</v>
      </c>
      <c r="AF40" s="11">
        <v>2444.938047526848</v>
      </c>
      <c r="AG40" s="11">
        <v>2317.6643451868736</v>
      </c>
      <c r="AH40" s="11">
        <v>2315.468698813543</v>
      </c>
      <c r="AI40" s="7" t="str">
        <f t="shared" si="14"/>
        <v>BAJISTA</v>
      </c>
      <c r="AJ40" s="7">
        <f t="shared" si="15"/>
      </c>
      <c r="AK40" s="7" t="str">
        <f>IF(W40&lt;&gt;"",IFERROR(INDEX(Niveles_Importancia!$A$3:$A$30,MATCH("Vela|"&amp;$E$5&amp;"|15 min",Niveles_Importancia!$H$3:$H$30,0)),"Sin clasificar"),IF(X40&lt;&gt;"",IFERROR(INDEX(Niveles_Importancia!$A$3:$A$30,MATCH($E$5&amp;"|"&amp;$E$6&amp;"|15 min",Niveles_Importancia!$H$3:$H$30,0)),"Sin clasificar"),IF(AI40&lt;&gt;"",IFERROR(INDEX(Niveles_Importancia!$A$3:$A$30,MATCH("Vela|"&amp;$E$5&amp;"|1 hora",Niveles_Importancia!$H$3:$H$30,0)),"Sin clasificar"),IF(AJ40&lt;&gt;"",IFERROR(INDEX(Niveles_Importancia!$A$3:$A$30,MATCH($E$5&amp;"|"&amp;$E$6&amp;"|1 hora",Niveles_Importancia!$H$3:$H$30,0)),"Sin clasificar"),""))))</f>
        <v>Sin clasificar</v>
      </c>
      <c r="AL40" s="7" t="str">
        <f t="shared" si="16"/>
        <v>Cruce bajista detectado en Ethereum (Exchange Cripto). La vela ha cruzado EMA 9 en 1 hora. Nivel: Sin clasificar. 31/07/yyyy 20:15</v>
      </c>
      <c r="AM40" s="7" t="str">
        <f t="shared" si="17"/>
        <v>Ethereum|1h-VelaMA1|yyyy07312015</v>
      </c>
    </row>
    <row r="41" spans="1:39" x14ac:dyDescent="0.25">
      <c r="A41" s="7">
        <v>30</v>
      </c>
      <c r="B41" s="8" t="s">
        <v>118</v>
      </c>
      <c r="C41" s="10" t="str">
        <f>IFERROR(INDEX(Universo_Activos!$A$3:$A$1022,MATCH(B41,Universo_Activos!$C$3:$C$1022,0)),"")</f>
        <v>Criptomonedas</v>
      </c>
      <c r="D41" s="10" t="str">
        <f>IFERROR(INDEX(Universo_Activos!$B$3:$B$1022,MATCH(B41,Universo_Activos!$C$3:$C$1022,0)),"")</f>
        <v>Exchange Cripto</v>
      </c>
      <c r="E41" s="10" t="str">
        <f>IFERROR(INDEX(Universo_Activos!$D$3:$D$1022,MATCH(B41,Universo_Activos!$C$3:$C$1022,0)),"")</f>
        <v>USDT-USD</v>
      </c>
      <c r="F41" s="10" t="str">
        <f>IFERROR(INDEX(Universo_Activos!$E$3:$E$1022,MATCH(B41,Universo_Activos!$C$3:$C$1022,0)),"")</f>
        <v>N/A (criptoactivo, sin ISIN)</v>
      </c>
      <c r="G41" s="11">
        <v>146.67</v>
      </c>
      <c r="H41" s="12">
        <v>0.0096</v>
      </c>
      <c r="I41" s="12">
        <v>0.0679</v>
      </c>
      <c r="J41" s="12">
        <v>-0.0055</v>
      </c>
      <c r="K41" s="12">
        <v>0.0013</v>
      </c>
      <c r="L41" s="12">
        <v>0.014</v>
      </c>
      <c r="M41" s="11">
        <v>0.99997</v>
      </c>
      <c r="N41" s="11">
        <v>0.99993</v>
      </c>
      <c r="O41" s="11">
        <v>0.9998599121203336</v>
      </c>
      <c r="P41" s="11">
        <v>0.999832390150417</v>
      </c>
      <c r="Q41" s="11">
        <v>0.9998061073970014</v>
      </c>
      <c r="R41" s="11">
        <v>0.9997888555440542</v>
      </c>
      <c r="S41" s="11">
        <v>0.9997863522510347</v>
      </c>
      <c r="T41" s="11">
        <v>0.9997788564245463</v>
      </c>
      <c r="U41" s="11">
        <v>0.9998052180171059</v>
      </c>
      <c r="V41" s="11">
        <v>0.9998030061784093</v>
      </c>
      <c r="W41" s="7">
        <f t="shared" ref="W41:W83" si="18">IF(AND(N41&lt;=P41,M41&gt;O41),"ALCISTA",IF(AND(N41&gt;=P41,M41&lt;O41),"BAJISTA",""))</f>
      </c>
      <c r="X41" s="7">
        <f t="shared" ref="X41:X83" si="19">IF(AND(P41&lt;=R41,O41&gt;Q41),"ALCISTA",IF(AND(P41&gt;=R41,O41&lt;Q41),"BAJISTA",""))</f>
      </c>
      <c r="Y41" s="11">
        <v>0.99997</v>
      </c>
      <c r="Z41" s="11">
        <v>0.99978</v>
      </c>
      <c r="AA41" s="11">
        <v>0.9997989557707107</v>
      </c>
      <c r="AB41" s="11">
        <v>0.9997561947133883</v>
      </c>
      <c r="AC41" s="11">
        <v>0.9997982641478189</v>
      </c>
      <c r="AD41" s="11">
        <v>0.9997801866896946</v>
      </c>
      <c r="AE41" s="11">
        <v>0.999792941456993</v>
      </c>
      <c r="AF41" s="11">
        <v>0.9997857145776866</v>
      </c>
      <c r="AG41" s="11">
        <v>0.9995968758373064</v>
      </c>
      <c r="AH41" s="11">
        <v>0.9995918674592836</v>
      </c>
      <c r="AI41" s="7">
        <f t="shared" ref="AI41:AI83" si="20">IF(AND(Z41&lt;=AB41,Y41&gt;AA41),"ALCISTA",IF(AND(Z41&gt;=AB41,Y41&lt;AA41),"BAJISTA",""))</f>
      </c>
      <c r="AJ41" s="7">
        <f t="shared" ref="AJ41:AJ83" si="21">IF(AND(AB41&lt;=AD41,AA41&gt;AC41),"ALCISTA",IF(AND(AB41&gt;=AD41,AA41&lt;AC41),"BAJISTA",""))</f>
      </c>
      <c r="AK41" s="7">
        <f>IF(W41&lt;&gt;"",IFERROR(INDEX(Niveles_Importancia!$A$3:$A$30,MATCH("Vela|"&amp;$E$5&amp;"|15 min",Niveles_Importancia!$H$3:$H$30,0)),"Sin clasificar"),IF(X41&lt;&gt;"",IFERROR(INDEX(Niveles_Importancia!$A$3:$A$30,MATCH($E$5&amp;"|"&amp;$E$6&amp;"|15 min",Niveles_Importancia!$H$3:$H$30,0)),"Sin clasificar"),IF(AI41&lt;&gt;"",IFERROR(INDEX(Niveles_Importancia!$A$3:$A$30,MATCH("Vela|"&amp;$E$5&amp;"|1 hora",Niveles_Importancia!$H$3:$H$30,0)),"Sin clasificar"),IF(AJ41&lt;&gt;"",IFERROR(INDEX(Niveles_Importancia!$A$3:$A$30,MATCH($E$5&amp;"|"&amp;$E$6&amp;"|1 hora",Niveles_Importancia!$H$3:$H$30,0)),"Sin clasificar"),""))))</f>
      </c>
      <c r="AL41" s="7">
        <f t="shared" ref="AL41:AL83" si="22">IF(W41&lt;&gt;"","Cruce "&amp;LOWER(W41)&amp;" detectado en "&amp;B41&amp;" ("&amp;D41&amp;"). La vela ha cruzado "&amp;$E$5&amp;" en 15 min. Nivel: "&amp;AK41&amp;". Precio: "&amp;TEXT(M41,"0.00")&amp;". "&amp;TEXT(NOW(),"dd/mm/yyyy hh:mm"),IF(X41&lt;&gt;"","Cruce "&amp;LOWER(X41)&amp;" detectado en "&amp;B41&amp;" ("&amp;D41&amp;"). "&amp;$E$5&amp;" ha cruzado "&amp;$E$6&amp;" en 15 min. Nivel: "&amp;AK41&amp;". "&amp;TEXT(NOW(),"dd/mm/yyyy hh:mm"),IF(AI41&lt;&gt;"","Cruce "&amp;LOWER(AI41)&amp;" detectado en "&amp;B41&amp;" ("&amp;D41&amp;"). La vela ha cruzado "&amp;$E$5&amp;" en 1 hora. Nivel: "&amp;AK41&amp;". "&amp;TEXT(NOW(),"dd/mm/yyyy hh:mm"),IF(AJ41&lt;&gt;"","Cruce "&amp;LOWER(AJ41)&amp;" detectado en "&amp;B41&amp;" ("&amp;D41&amp;"). "&amp;$E$5&amp;" ha cruzado "&amp;$E$6&amp;" en 1 hora. Nivel: "&amp;AK41&amp;". "&amp;TEXT(NOW(),"dd/mm/yyyy hh:mm"),""))))</f>
      </c>
      <c r="AM41" s="7">
        <f t="shared" ref="AM41:AM83" si="23">IF(AL41="","",B41&amp;"|"&amp;IF(W41&lt;&gt;"","15min-VelaMA1",IF(X41&lt;&gt;"","15min-MA1MA2",IF(AI41&lt;&gt;"","1h-VelaMA1","1h-MA1MA2")))&amp;"|"&amp;TEXT(NOW(),"yyyymmddhhmm"))</f>
      </c>
    </row>
    <row r="42" spans="1:39" x14ac:dyDescent="0.25">
      <c r="A42" s="7">
        <v>31</v>
      </c>
      <c r="B42" s="8" t="s">
        <v>119</v>
      </c>
      <c r="C42" s="10" t="str">
        <f>IFERROR(INDEX(Universo_Activos!$A$3:$A$1022,MATCH(B42,Universo_Activos!$C$3:$C$1022,0)),"")</f>
        <v>Criptomonedas</v>
      </c>
      <c r="D42" s="10" t="str">
        <f>IFERROR(INDEX(Universo_Activos!$B$3:$B$1022,MATCH(B42,Universo_Activos!$C$3:$C$1022,0)),"")</f>
        <v>Exchange Cripto</v>
      </c>
      <c r="E42" s="10" t="str">
        <f>IFERROR(INDEX(Universo_Activos!$D$3:$D$1022,MATCH(B42,Universo_Activos!$C$3:$C$1022,0)),"")</f>
        <v>SOL-USD</v>
      </c>
      <c r="F42" s="10" t="str">
        <f>IFERROR(INDEX(Universo_Activos!$E$3:$E$1022,MATCH(B42,Universo_Activos!$C$3:$C$1022,0)),"")</f>
        <v>N/A (criptoactivo, sin ISIN)</v>
      </c>
      <c r="G42" s="11">
        <v>28.42</v>
      </c>
      <c r="H42" s="12">
        <v>-0.0058</v>
      </c>
      <c r="I42" s="12">
        <v>-0.0095</v>
      </c>
      <c r="J42" s="12">
        <v>0.0548</v>
      </c>
      <c r="K42" s="12">
        <v>0.0031</v>
      </c>
      <c r="L42" s="12">
        <v>0.0224</v>
      </c>
      <c r="M42" s="11">
        <v>96.36</v>
      </c>
      <c r="N42" s="11">
        <v>96.27</v>
      </c>
      <c r="O42" s="11">
        <v>95.98022134399771</v>
      </c>
      <c r="P42" s="11">
        <v>95.88527667999715</v>
      </c>
      <c r="Q42" s="11">
        <v>95.93375231538349</v>
      </c>
      <c r="R42" s="11">
        <v>95.88888413805543</v>
      </c>
      <c r="S42" s="11">
        <v>95.54813910164688</v>
      </c>
      <c r="T42" s="11">
        <v>95.51500192212227</v>
      </c>
      <c r="U42" s="11">
        <v>94.91667945124085</v>
      </c>
      <c r="V42" s="11">
        <v>94.89730602105617</v>
      </c>
      <c r="W42" s="7">
        <f t="shared" si="18"/>
      </c>
      <c r="X42" s="7">
        <f t="shared" si="19"/>
      </c>
      <c r="Y42" s="11">
        <v>96.36</v>
      </c>
      <c r="Z42" s="11">
        <v>95.38</v>
      </c>
      <c r="AA42" s="11">
        <v>95.71281508060832</v>
      </c>
      <c r="AB42" s="11">
        <v>95.5510188507604</v>
      </c>
      <c r="AC42" s="11">
        <v>95.29457655626155</v>
      </c>
      <c r="AD42" s="11">
        <v>95.18242672007855</v>
      </c>
      <c r="AE42" s="11">
        <v>94.44515822768723</v>
      </c>
      <c r="AF42" s="11">
        <v>94.36700142065406</v>
      </c>
      <c r="AG42" s="11">
        <v>89.79107244099585</v>
      </c>
      <c r="AH42" s="11">
        <v>89.7028989167139</v>
      </c>
      <c r="AI42" s="7">
        <f t="shared" si="20"/>
      </c>
      <c r="AJ42" s="7">
        <f t="shared" si="21"/>
      </c>
      <c r="AK42" s="7">
        <f>IF(W42&lt;&gt;"",IFERROR(INDEX(Niveles_Importancia!$A$3:$A$30,MATCH("Vela|"&amp;$E$5&amp;"|15 min",Niveles_Importancia!$H$3:$H$30,0)),"Sin clasificar"),IF(X42&lt;&gt;"",IFERROR(INDEX(Niveles_Importancia!$A$3:$A$30,MATCH($E$5&amp;"|"&amp;$E$6&amp;"|15 min",Niveles_Importancia!$H$3:$H$30,0)),"Sin clasificar"),IF(AI42&lt;&gt;"",IFERROR(INDEX(Niveles_Importancia!$A$3:$A$30,MATCH("Vela|"&amp;$E$5&amp;"|1 hora",Niveles_Importancia!$H$3:$H$30,0)),"Sin clasificar"),IF(AJ42&lt;&gt;"",IFERROR(INDEX(Niveles_Importancia!$A$3:$A$30,MATCH($E$5&amp;"|"&amp;$E$6&amp;"|1 hora",Niveles_Importancia!$H$3:$H$30,0)),"Sin clasificar"),""))))</f>
      </c>
      <c r="AL42" s="7">
        <f t="shared" si="22"/>
      </c>
      <c r="AM42" s="7">
        <f t="shared" si="23"/>
      </c>
    </row>
    <row r="43" spans="1:39" x14ac:dyDescent="0.25">
      <c r="A43" s="7">
        <v>32</v>
      </c>
      <c r="B43" s="8" t="s">
        <v>120</v>
      </c>
      <c r="C43" s="10" t="str">
        <f>IFERROR(INDEX(Universo_Activos!$A$3:$A$1022,MATCH(B43,Universo_Activos!$C$3:$C$1022,0)),"")</f>
        <v>Criptomonedas</v>
      </c>
      <c r="D43" s="10" t="str">
        <f>IFERROR(INDEX(Universo_Activos!$B$3:$B$1022,MATCH(B43,Universo_Activos!$C$3:$C$1022,0)),"")</f>
        <v>Exchange Cripto</v>
      </c>
      <c r="E43" s="10" t="str">
        <f>IFERROR(INDEX(Universo_Activos!$D$3:$D$1022,MATCH(B43,Universo_Activos!$C$3:$C$1022,0)),"")</f>
        <v>XRP-USD</v>
      </c>
      <c r="F43" s="10" t="str">
        <f>IFERROR(INDEX(Universo_Activos!$E$3:$E$1022,MATCH(B43,Universo_Activos!$C$3:$C$1022,0)),"")</f>
        <v>N/A (criptoactivo, sin ISIN)</v>
      </c>
      <c r="G43" s="11">
        <v>274.88</v>
      </c>
      <c r="H43" s="12">
        <v>-0.0048</v>
      </c>
      <c r="I43" s="12">
        <v>0.0769</v>
      </c>
      <c r="J43" s="12">
        <v>-0.0164</v>
      </c>
      <c r="K43" s="12">
        <v>-0.0683</v>
      </c>
      <c r="L43" s="12">
        <v>0.0207</v>
      </c>
      <c r="M43" s="11">
        <v>1.4882</v>
      </c>
      <c r="N43" s="11">
        <v>1.4839</v>
      </c>
      <c r="O43" s="11">
        <v>1.4876641795406553</v>
      </c>
      <c r="P43" s="11">
        <v>1.4875302244258193</v>
      </c>
      <c r="Q43" s="11">
        <v>1.4929101391084318</v>
      </c>
      <c r="R43" s="11">
        <v>1.4934059432251088</v>
      </c>
      <c r="S43" s="11">
        <v>1.4932450973706213</v>
      </c>
      <c r="T43" s="11">
        <v>1.4934510197122792</v>
      </c>
      <c r="U43" s="11">
        <v>1.4906544739579914</v>
      </c>
      <c r="V43" s="11">
        <v>1.4906874199171591</v>
      </c>
      <c r="W43" s="7">
        <f t="shared" si="18"/>
      </c>
      <c r="X43" s="7" t="str">
        <f t="shared" si="19"/>
        <v>ALCISTA</v>
      </c>
      <c r="Y43" s="11">
        <v>1.4882</v>
      </c>
      <c r="Z43" s="11">
        <v>1.4765</v>
      </c>
      <c r="AA43" s="11">
        <v>1.4915842210728214</v>
      </c>
      <c r="AB43" s="11">
        <v>1.4924302763410269</v>
      </c>
      <c r="AC43" s="11">
        <v>1.491100956138212</v>
      </c>
      <c r="AD43" s="11">
        <v>1.4914063199422343</v>
      </c>
      <c r="AE43" s="11">
        <v>1.47742818256065</v>
      </c>
      <c r="AF43" s="11">
        <v>1.4769885165427172</v>
      </c>
      <c r="AG43" s="11">
        <v>1.3512121401213772</v>
      </c>
      <c r="AH43" s="11">
        <v>1.34937337690153</v>
      </c>
      <c r="AI43" s="7" t="str">
        <f t="shared" si="20"/>
        <v>BAJISTA</v>
      </c>
      <c r="AJ43" s="7">
        <f t="shared" si="21"/>
      </c>
      <c r="AK43" s="7">
        <f>IF(W43&lt;&gt;"",IFERROR(INDEX(Niveles_Importancia!$A$3:$A$30,MATCH("Vela|"&amp;$E$5&amp;"|15 min",Niveles_Importancia!$H$3:$H$30,0)),"Sin clasificar"),IF(X43&lt;&gt;"",IFERROR(INDEX(Niveles_Importancia!$A$3:$A$30,MATCH($E$5&amp;"|"&amp;$E$6&amp;"|15 min",Niveles_Importancia!$H$3:$H$30,0)),"Sin clasificar"),IF(AI43&lt;&gt;"",IFERROR(INDEX(Niveles_Importancia!$A$3:$A$30,MATCH("Vela|"&amp;$E$5&amp;"|1 hora",Niveles_Importancia!$H$3:$H$30,0)),"Sin clasificar"),IF(AJ43&lt;&gt;"",IFERROR(INDEX(Niveles_Importancia!$A$3:$A$30,MATCH($E$5&amp;"|"&amp;$E$6&amp;"|1 hora",Niveles_Importancia!$H$3:$H$30,0)),"Sin clasificar"),""))))</f>
        <v>1</v>
      </c>
      <c r="AL43" s="7" t="str">
        <f t="shared" si="22"/>
        <v>Cruce alcista detectado en Ripple (Exchange Cripto). EMA 9 ha cruzado EMA 20 en 15 min. Nivel: 1. 31/07/yyyy 20:15</v>
      </c>
      <c r="AM43" s="7" t="str">
        <f t="shared" si="23"/>
        <v>Ripple|15min-MA1MA2|yyyy07312015</v>
      </c>
    </row>
    <row r="44" spans="1:39" x14ac:dyDescent="0.25">
      <c r="A44" s="7">
        <v>33</v>
      </c>
      <c r="B44" s="8" t="s">
        <v>121</v>
      </c>
      <c r="C44" s="10" t="str">
        <f>IFERROR(INDEX(Universo_Activos!$A$3:$A$1022,MATCH(B44,Universo_Activos!$C$3:$C$1022,0)),"")</f>
        <v>Criptomonedas</v>
      </c>
      <c r="D44" s="10" t="str">
        <f>IFERROR(INDEX(Universo_Activos!$B$3:$B$1022,MATCH(B44,Universo_Activos!$C$3:$C$1022,0)),"")</f>
        <v>Exchange Cripto</v>
      </c>
      <c r="E44" s="10" t="str">
        <f>IFERROR(INDEX(Universo_Activos!$D$3:$D$1022,MATCH(B44,Universo_Activos!$C$3:$C$1022,0)),"")</f>
        <v>DOGE-USD</v>
      </c>
      <c r="F44" s="10" t="str">
        <f>IFERROR(INDEX(Universo_Activos!$E$3:$E$1022,MATCH(B44,Universo_Activos!$C$3:$C$1022,0)),"")</f>
        <v>N/A (criptoactivo, sin ISIN)</v>
      </c>
      <c r="G44" s="11">
        <v>79.6</v>
      </c>
      <c r="H44" s="12">
        <v>-0.0368</v>
      </c>
      <c r="I44" s="12">
        <v>0.0753</v>
      </c>
      <c r="J44" s="12">
        <v>0.0485</v>
      </c>
      <c r="K44" s="12">
        <v>-0.0313</v>
      </c>
      <c r="L44" s="12">
        <v>0.0616</v>
      </c>
      <c r="M44" s="11">
        <v>0.08964</v>
      </c>
      <c r="N44" s="11">
        <v>0.08955</v>
      </c>
      <c r="O44" s="11">
        <v>0.08982192491031063</v>
      </c>
      <c r="P44" s="11">
        <v>0.08986740613788828</v>
      </c>
      <c r="Q44" s="11">
        <v>0.09050323089040259</v>
      </c>
      <c r="R44" s="11">
        <v>0.09059409729991866</v>
      </c>
      <c r="S44" s="11">
        <v>0.0911753746784596</v>
      </c>
      <c r="T44" s="11">
        <v>0.09123804303268244</v>
      </c>
      <c r="U44" s="11">
        <v>0.0915851706055755</v>
      </c>
      <c r="V44" s="11">
        <v>0.09161128027813356</v>
      </c>
      <c r="W44" s="7">
        <f t="shared" si="18"/>
      </c>
      <c r="X44" s="7">
        <f t="shared" si="19"/>
      </c>
      <c r="Y44" s="11">
        <v>0.08964</v>
      </c>
      <c r="Z44" s="11">
        <v>0.08897</v>
      </c>
      <c r="AA44" s="11">
        <v>0.09072642314547187</v>
      </c>
      <c r="AB44" s="11">
        <v>0.09099802893183984</v>
      </c>
      <c r="AC44" s="11">
        <v>0.09126808147705348</v>
      </c>
      <c r="AD44" s="11">
        <v>0.09143945847463805</v>
      </c>
      <c r="AE44" s="11">
        <v>0.09098917146606582</v>
      </c>
      <c r="AF44" s="11">
        <v>0.09104423968917055</v>
      </c>
      <c r="AG44" s="11">
        <v>0.08534895983966675</v>
      </c>
      <c r="AH44" s="11">
        <v>0.08529136198516564</v>
      </c>
      <c r="AI44" s="7">
        <f t="shared" si="20"/>
      </c>
      <c r="AJ44" s="7">
        <f t="shared" si="21"/>
      </c>
      <c r="AK44" s="7">
        <f>IF(W44&lt;&gt;"",IFERROR(INDEX(Niveles_Importancia!$A$3:$A$30,MATCH("Vela|"&amp;$E$5&amp;"|15 min",Niveles_Importancia!$H$3:$H$30,0)),"Sin clasificar"),IF(X44&lt;&gt;"",IFERROR(INDEX(Niveles_Importancia!$A$3:$A$30,MATCH($E$5&amp;"|"&amp;$E$6&amp;"|15 min",Niveles_Importancia!$H$3:$H$30,0)),"Sin clasificar"),IF(AI44&lt;&gt;"",IFERROR(INDEX(Niveles_Importancia!$A$3:$A$30,MATCH("Vela|"&amp;$E$5&amp;"|1 hora",Niveles_Importancia!$H$3:$H$30,0)),"Sin clasificar"),IF(AJ44&lt;&gt;"",IFERROR(INDEX(Niveles_Importancia!$A$3:$A$30,MATCH($E$5&amp;"|"&amp;$E$6&amp;"|1 hora",Niveles_Importancia!$H$3:$H$30,0)),"Sin clasificar"),""))))</f>
      </c>
      <c r="AL44" s="7">
        <f t="shared" si="22"/>
      </c>
      <c r="AM44" s="7">
        <f t="shared" si="23"/>
      </c>
    </row>
    <row r="45" spans="1:39" x14ac:dyDescent="0.25">
      <c r="A45" s="7">
        <v>34</v>
      </c>
      <c r="B45" s="8" t="s">
        <v>122</v>
      </c>
      <c r="C45" s="10" t="str">
        <f>IFERROR(INDEX(Universo_Activos!$A$3:$A$1022,MATCH(B45,Universo_Activos!$C$3:$C$1022,0)),"")</f>
        <v>Criptomonedas</v>
      </c>
      <c r="D45" s="10" t="str">
        <f>IFERROR(INDEX(Universo_Activos!$B$3:$B$1022,MATCH(B45,Universo_Activos!$C$3:$C$1022,0)),"")</f>
        <v>Exchange Cripto</v>
      </c>
      <c r="E45" s="10" t="str">
        <f>IFERROR(INDEX(Universo_Activos!$D$3:$D$1022,MATCH(B45,Universo_Activos!$C$3:$C$1022,0)),"")</f>
        <v>ADA-USD</v>
      </c>
      <c r="F45" s="10" t="str">
        <f>IFERROR(INDEX(Universo_Activos!$E$3:$E$1022,MATCH(B45,Universo_Activos!$C$3:$C$1022,0)),"")</f>
        <v>N/A (criptoactivo, sin ISIN)</v>
      </c>
      <c r="G45" s="11">
        <v>180.88</v>
      </c>
      <c r="H45" s="12">
        <v>0.0586</v>
      </c>
      <c r="I45" s="12">
        <v>-0.0507</v>
      </c>
      <c r="J45" s="12">
        <v>-0.0553</v>
      </c>
      <c r="K45" s="12">
        <v>0.0653</v>
      </c>
      <c r="L45" s="12">
        <v>0.0508</v>
      </c>
      <c r="M45" s="11">
        <v>0.221</v>
      </c>
      <c r="N45" s="11">
        <v>0.22066</v>
      </c>
      <c r="O45" s="11">
        <v>0.22061920113078395</v>
      </c>
      <c r="P45" s="11">
        <v>0.22052400141347994</v>
      </c>
      <c r="Q45" s="11">
        <v>0.22136511141669135</v>
      </c>
      <c r="R45" s="11">
        <v>0.2214035441973957</v>
      </c>
      <c r="S45" s="11">
        <v>0.22167900303731636</v>
      </c>
      <c r="T45" s="11">
        <v>0.22170671744700274</v>
      </c>
      <c r="U45" s="11">
        <v>0.22269367512001054</v>
      </c>
      <c r="V45" s="11">
        <v>0.22271640901423886</v>
      </c>
      <c r="W45" s="7">
        <f t="shared" si="18"/>
      </c>
      <c r="X45" s="7">
        <f t="shared" si="19"/>
      </c>
      <c r="Y45" s="11">
        <v>0.22101</v>
      </c>
      <c r="Z45" s="11">
        <v>0.21873</v>
      </c>
      <c r="AA45" s="11">
        <v>0.22125421396518066</v>
      </c>
      <c r="AB45" s="11">
        <v>0.2213152674564758</v>
      </c>
      <c r="AC45" s="11">
        <v>0.22164501386488308</v>
      </c>
      <c r="AD45" s="11">
        <v>0.2217118574296076</v>
      </c>
      <c r="AE45" s="11">
        <v>0.22157768786706417</v>
      </c>
      <c r="AF45" s="11">
        <v>0.22160085880041372</v>
      </c>
      <c r="AG45" s="11">
        <v>0.21061201661998627</v>
      </c>
      <c r="AH45" s="11">
        <v>0.21047244637327467</v>
      </c>
      <c r="AI45" s="7">
        <f t="shared" si="20"/>
      </c>
      <c r="AJ45" s="7">
        <f t="shared" si="21"/>
      </c>
      <c r="AK45" s="7">
        <f>IF(W45&lt;&gt;"",IFERROR(INDEX(Niveles_Importancia!$A$3:$A$30,MATCH("Vela|"&amp;$E$5&amp;"|15 min",Niveles_Importancia!$H$3:$H$30,0)),"Sin clasificar"),IF(X45&lt;&gt;"",IFERROR(INDEX(Niveles_Importancia!$A$3:$A$30,MATCH($E$5&amp;"|"&amp;$E$6&amp;"|15 min",Niveles_Importancia!$H$3:$H$30,0)),"Sin clasificar"),IF(AI45&lt;&gt;"",IFERROR(INDEX(Niveles_Importancia!$A$3:$A$30,MATCH("Vela|"&amp;$E$5&amp;"|1 hora",Niveles_Importancia!$H$3:$H$30,0)),"Sin clasificar"),IF(AJ45&lt;&gt;"",IFERROR(INDEX(Niveles_Importancia!$A$3:$A$30,MATCH($E$5&amp;"|"&amp;$E$6&amp;"|1 hora",Niveles_Importancia!$H$3:$H$30,0)),"Sin clasificar"),""))))</f>
      </c>
      <c r="AL45" s="7">
        <f t="shared" si="22"/>
      </c>
      <c r="AM45" s="7">
        <f t="shared" si="23"/>
      </c>
    </row>
    <row r="46" spans="1:39" x14ac:dyDescent="0.25">
      <c r="A46" s="7">
        <v>35</v>
      </c>
      <c r="B46" s="8" t="s">
        <v>123</v>
      </c>
      <c r="C46" s="10" t="str">
        <f>IFERROR(INDEX(Universo_Activos!$A$3:$A$1022,MATCH(B46,Universo_Activos!$C$3:$C$1022,0)),"")</f>
        <v>Criptomonedas</v>
      </c>
      <c r="D46" s="10" t="str">
        <f>IFERROR(INDEX(Universo_Activos!$B$3:$B$1022,MATCH(B46,Universo_Activos!$C$3:$C$1022,0)),"")</f>
        <v>Exchange Cripto</v>
      </c>
      <c r="E46" s="10" t="str">
        <f>IFERROR(INDEX(Universo_Activos!$D$3:$D$1022,MATCH(B46,Universo_Activos!$C$3:$C$1022,0)),"")</f>
        <v>LTC-USD</v>
      </c>
      <c r="F46" s="10" t="str">
        <f>IFERROR(INDEX(Universo_Activos!$E$3:$E$1022,MATCH(B46,Universo_Activos!$C$3:$C$1022,0)),"")</f>
        <v>N/A (criptoactivo, sin ISIN)</v>
      </c>
      <c r="G46" s="11">
        <v>39.26</v>
      </c>
      <c r="H46" s="12">
        <v>-0.0435</v>
      </c>
      <c r="I46" s="12">
        <v>0.0095</v>
      </c>
      <c r="J46" s="12">
        <v>0.0564</v>
      </c>
      <c r="K46" s="12">
        <v>0.0183</v>
      </c>
      <c r="L46" s="12">
        <v>-0.0352</v>
      </c>
      <c r="M46" s="11">
        <v>52.12</v>
      </c>
      <c r="N46" s="11">
        <v>52.075</v>
      </c>
      <c r="O46" s="11">
        <v>52.105448344819784</v>
      </c>
      <c r="P46" s="11">
        <v>52.10181043102473</v>
      </c>
      <c r="Q46" s="11">
        <v>52.28499938230171</v>
      </c>
      <c r="R46" s="11">
        <v>52.30236773833347</v>
      </c>
      <c r="S46" s="11">
        <v>52.39746484973339</v>
      </c>
      <c r="T46" s="11">
        <v>52.408789945640876</v>
      </c>
      <c r="U46" s="11">
        <v>52.32802151023764</v>
      </c>
      <c r="V46" s="11">
        <v>52.33081374527439</v>
      </c>
      <c r="W46" s="7">
        <f t="shared" si="18"/>
      </c>
      <c r="X46" s="7">
        <f t="shared" si="19"/>
      </c>
      <c r="Y46" s="11">
        <v>52.12</v>
      </c>
      <c r="Z46" s="11">
        <v>51.83</v>
      </c>
      <c r="AA46" s="11">
        <v>52.31210087835821</v>
      </c>
      <c r="AB46" s="11">
        <v>52.36012609794776</v>
      </c>
      <c r="AC46" s="11">
        <v>52.31340765628716</v>
      </c>
      <c r="AD46" s="11">
        <v>52.33376635694897</v>
      </c>
      <c r="AE46" s="11">
        <v>52.060630501574906</v>
      </c>
      <c r="AF46" s="11">
        <v>52.05820725674123</v>
      </c>
      <c r="AG46" s="11">
        <v>50.069575837574405</v>
      </c>
      <c r="AH46" s="11">
        <v>50.042053365595535</v>
      </c>
      <c r="AI46" s="7">
        <f t="shared" si="20"/>
      </c>
      <c r="AJ46" s="7">
        <f t="shared" si="21"/>
      </c>
      <c r="AK46" s="7">
        <f>IF(W46&lt;&gt;"",IFERROR(INDEX(Niveles_Importancia!$A$3:$A$30,MATCH("Vela|"&amp;$E$5&amp;"|15 min",Niveles_Importancia!$H$3:$H$30,0)),"Sin clasificar"),IF(X46&lt;&gt;"",IFERROR(INDEX(Niveles_Importancia!$A$3:$A$30,MATCH($E$5&amp;"|"&amp;$E$6&amp;"|15 min",Niveles_Importancia!$H$3:$H$30,0)),"Sin clasificar"),IF(AI46&lt;&gt;"",IFERROR(INDEX(Niveles_Importancia!$A$3:$A$30,MATCH("Vela|"&amp;$E$5&amp;"|1 hora",Niveles_Importancia!$H$3:$H$30,0)),"Sin clasificar"),IF(AJ46&lt;&gt;"",IFERROR(INDEX(Niveles_Importancia!$A$3:$A$30,MATCH($E$5&amp;"|"&amp;$E$6&amp;"|1 hora",Niveles_Importancia!$H$3:$H$30,0)),"Sin clasificar"),""))))</f>
      </c>
      <c r="AL46" s="7">
        <f t="shared" si="22"/>
      </c>
      <c r="AM46" s="7">
        <f t="shared" si="23"/>
      </c>
    </row>
    <row r="47" spans="1:39" x14ac:dyDescent="0.25">
      <c r="A47" s="7">
        <v>36</v>
      </c>
      <c r="B47" s="8" t="s">
        <v>124</v>
      </c>
      <c r="C47" s="10" t="str">
        <f>IFERROR(INDEX(Universo_Activos!$A$3:$A$1022,MATCH(B47,Universo_Activos!$C$3:$C$1022,0)),"")</f>
        <v>Metales</v>
      </c>
      <c r="D47" s="10" t="str">
        <f>IFERROR(INDEX(Universo_Activos!$B$3:$B$1022,MATCH(B47,Universo_Activos!$C$3:$C$1022,0)),"")</f>
        <v>COMEX</v>
      </c>
      <c r="E47" s="10" t="str">
        <f>IFERROR(INDEX(Universo_Activos!$D$3:$D$1022,MATCH(B47,Universo_Activos!$C$3:$C$1022,0)),"")</f>
        <v>GC=F</v>
      </c>
      <c r="F47" s="10">
        <f>IFERROR(INDEX(Universo_Activos!$E$3:$E$1022,MATCH(B47,Universo_Activos!$C$3:$C$1022,0)),"")</f>
        <v>0</v>
      </c>
      <c r="G47" s="11">
        <v>216.27</v>
      </c>
      <c r="H47" s="12">
        <v>0.074</v>
      </c>
      <c r="I47" s="12">
        <v>-0.0766</v>
      </c>
      <c r="J47" s="12">
        <v>0.0218</v>
      </c>
      <c r="K47" s="12">
        <v>-0.0028</v>
      </c>
      <c r="L47" s="12">
        <v>0.0369</v>
      </c>
      <c r="M47" s="11">
        <v>4691.7</v>
      </c>
      <c r="N47" s="11">
        <v>4688.5</v>
      </c>
      <c r="O47" s="11">
        <v>4699.411792752922</v>
      </c>
      <c r="P47" s="11">
        <v>4701.339740941153</v>
      </c>
      <c r="Q47" s="11">
        <v>4706.611257860776</v>
      </c>
      <c r="R47" s="11">
        <v>4708.180863951385</v>
      </c>
      <c r="S47" s="11">
        <v>4705.24200826446</v>
      </c>
      <c r="T47" s="11">
        <v>4705.794743295663</v>
      </c>
      <c r="U47" s="11">
        <v>4673.048946332704</v>
      </c>
      <c r="V47" s="11">
        <v>4672.798596619049</v>
      </c>
      <c r="W47" s="7">
        <f t="shared" si="18"/>
      </c>
      <c r="X47" s="7">
        <f t="shared" si="19"/>
      </c>
      <c r="Y47" s="11">
        <v>4692.1</v>
      </c>
      <c r="Z47" s="11">
        <v>4693.3</v>
      </c>
      <c r="AA47" s="11">
        <v>4702.907446587258</v>
      </c>
      <c r="AB47" s="11">
        <v>4705.609308234072</v>
      </c>
      <c r="AC47" s="11">
        <v>4695.3619521419305</v>
      </c>
      <c r="AD47" s="11">
        <v>4695.705315525292</v>
      </c>
      <c r="AE47" s="11">
        <v>4653.9054257683765</v>
      </c>
      <c r="AF47" s="11">
        <v>4652.346463554841</v>
      </c>
      <c r="AG47" s="11">
        <v>4558.010194301987</v>
      </c>
      <c r="AH47" s="11">
        <v>4556.210331138255</v>
      </c>
      <c r="AI47" s="7" t="str">
        <f t="shared" si="20"/>
        <v>ALCISTA</v>
      </c>
      <c r="AJ47" s="7">
        <f t="shared" si="21"/>
      </c>
      <c r="AK47" s="7" t="str">
        <f>IF(W47&lt;&gt;"",IFERROR(INDEX(Niveles_Importancia!$A$3:$A$30,MATCH("Vela|"&amp;$E$5&amp;"|15 min",Niveles_Importancia!$H$3:$H$30,0)),"Sin clasificar"),IF(X47&lt;&gt;"",IFERROR(INDEX(Niveles_Importancia!$A$3:$A$30,MATCH($E$5&amp;"|"&amp;$E$6&amp;"|15 min",Niveles_Importancia!$H$3:$H$30,0)),"Sin clasificar"),IF(AI47&lt;&gt;"",IFERROR(INDEX(Niveles_Importancia!$A$3:$A$30,MATCH("Vela|"&amp;$E$5&amp;"|1 hora",Niveles_Importancia!$H$3:$H$30,0)),"Sin clasificar"),IF(AJ47&lt;&gt;"",IFERROR(INDEX(Niveles_Importancia!$A$3:$A$30,MATCH($E$5&amp;"|"&amp;$E$6&amp;"|1 hora",Niveles_Importancia!$H$3:$H$30,0)),"Sin clasificar"),""))))</f>
        <v>Sin clasificar</v>
      </c>
      <c r="AL47" s="7" t="str">
        <f t="shared" si="22"/>
        <v>Cruce alcista detectado en Oro (Futuro) (COMEX). La vela ha cruzado EMA 9 en 1 hora. Nivel: Sin clasificar. 31/07/yyyy 20:15</v>
      </c>
      <c r="AM47" s="7" t="str">
        <f t="shared" si="23"/>
        <v>Oro (Futuro)|1h-VelaMA1|yyyy07312015</v>
      </c>
    </row>
    <row r="48" spans="1:39" x14ac:dyDescent="0.25">
      <c r="A48" s="7">
        <v>37</v>
      </c>
      <c r="B48" s="8" t="s">
        <v>125</v>
      </c>
      <c r="C48" s="10" t="str">
        <f>IFERROR(INDEX(Universo_Activos!$A$3:$A$1022,MATCH(B48,Universo_Activos!$C$3:$C$1022,0)),"")</f>
        <v>Metales</v>
      </c>
      <c r="D48" s="10" t="str">
        <f>IFERROR(INDEX(Universo_Activos!$B$3:$B$1022,MATCH(B48,Universo_Activos!$C$3:$C$1022,0)),"")</f>
        <v>COMEX</v>
      </c>
      <c r="E48" s="10" t="str">
        <f>IFERROR(INDEX(Universo_Activos!$D$3:$D$1022,MATCH(B48,Universo_Activos!$C$3:$C$1022,0)),"")</f>
        <v>SI=F</v>
      </c>
      <c r="F48" s="10">
        <f>IFERROR(INDEX(Universo_Activos!$E$3:$E$1022,MATCH(B48,Universo_Activos!$C$3:$C$1022,0)),"")</f>
        <v>0</v>
      </c>
      <c r="G48" s="11">
        <v>183.15</v>
      </c>
      <c r="H48" s="12">
        <v>0.0174</v>
      </c>
      <c r="I48" s="12">
        <v>-0.0672</v>
      </c>
      <c r="J48" s="12">
        <v>0.0223</v>
      </c>
      <c r="K48" s="12">
        <v>0.0789</v>
      </c>
      <c r="L48" s="12">
        <v>0.0608</v>
      </c>
      <c r="M48" s="11">
        <v>68.63</v>
      </c>
      <c r="N48" s="11">
        <v>68.47</v>
      </c>
      <c r="O48" s="11">
        <v>68.62814302814877</v>
      </c>
      <c r="P48" s="11">
        <v>68.62767878518596</v>
      </c>
      <c r="Q48" s="11">
        <v>68.76208191892498</v>
      </c>
      <c r="R48" s="11">
        <v>68.77598527881182</v>
      </c>
      <c r="S48" s="11">
        <v>68.90006137056727</v>
      </c>
      <c r="T48" s="11">
        <v>68.91108428365165</v>
      </c>
      <c r="U48" s="11">
        <v>68.80393029800923</v>
      </c>
      <c r="V48" s="11">
        <v>68.80626493288185</v>
      </c>
      <c r="W48" s="7">
        <f t="shared" si="18"/>
      </c>
      <c r="X48" s="7">
        <f t="shared" si="19"/>
      </c>
      <c r="Y48" s="11">
        <v>68.63</v>
      </c>
      <c r="Z48" s="11">
        <v>68.49</v>
      </c>
      <c r="AA48" s="11">
        <v>68.75620645228705</v>
      </c>
      <c r="AB48" s="11">
        <v>68.7877580653588</v>
      </c>
      <c r="AC48" s="11">
        <v>68.8772483421976</v>
      </c>
      <c r="AD48" s="11">
        <v>68.90327448348157</v>
      </c>
      <c r="AE48" s="11">
        <v>68.55971540992542</v>
      </c>
      <c r="AF48" s="11">
        <v>68.55684665114687</v>
      </c>
      <c r="AG48" s="11">
        <v>67.0304552497949</v>
      </c>
      <c r="AH48" s="11">
        <v>67.00898485046329</v>
      </c>
      <c r="AI48" s="7" t="str">
        <f t="shared" si="20"/>
        <v>ALCISTA</v>
      </c>
      <c r="AJ48" s="7">
        <f t="shared" si="21"/>
      </c>
      <c r="AK48" s="7" t="str">
        <f>IF(W48&lt;&gt;"",IFERROR(INDEX(Niveles_Importancia!$A$3:$A$30,MATCH("Vela|"&amp;$E$5&amp;"|15 min",Niveles_Importancia!$H$3:$H$30,0)),"Sin clasificar"),IF(X48&lt;&gt;"",IFERROR(INDEX(Niveles_Importancia!$A$3:$A$30,MATCH($E$5&amp;"|"&amp;$E$6&amp;"|15 min",Niveles_Importancia!$H$3:$H$30,0)),"Sin clasificar"),IF(AI48&lt;&gt;"",IFERROR(INDEX(Niveles_Importancia!$A$3:$A$30,MATCH("Vela|"&amp;$E$5&amp;"|1 hora",Niveles_Importancia!$H$3:$H$30,0)),"Sin clasificar"),IF(AJ48&lt;&gt;"",IFERROR(INDEX(Niveles_Importancia!$A$3:$A$30,MATCH($E$5&amp;"|"&amp;$E$6&amp;"|1 hora",Niveles_Importancia!$H$3:$H$30,0)),"Sin clasificar"),""))))</f>
        <v>Sin clasificar</v>
      </c>
      <c r="AL48" s="7" t="str">
        <f t="shared" si="22"/>
        <v>Cruce alcista detectado en Plata (Futuro) (COMEX). La vela ha cruzado EMA 9 en 1 hora. Nivel: Sin clasificar. 31/07/yyyy 20:15</v>
      </c>
      <c r="AM48" s="7" t="str">
        <f t="shared" si="23"/>
        <v>Plata (Futuro)|1h-VelaMA1|yyyy07312015</v>
      </c>
    </row>
    <row r="49" spans="1:39" x14ac:dyDescent="0.25">
      <c r="A49" s="7">
        <v>38</v>
      </c>
      <c r="B49" s="8" t="s">
        <v>126</v>
      </c>
      <c r="C49" s="10" t="str">
        <f>IFERROR(INDEX(Universo_Activos!$A$3:$A$1022,MATCH(B49,Universo_Activos!$C$3:$C$1022,0)),"")</f>
        <v>Energia</v>
      </c>
      <c r="D49" s="10" t="str">
        <f>IFERROR(INDEX(Universo_Activos!$B$3:$B$1022,MATCH(B49,Universo_Activos!$C$3:$C$1022,0)),"")</f>
        <v>NYMEX</v>
      </c>
      <c r="E49" s="10" t="str">
        <f>IFERROR(INDEX(Universo_Activos!$D$3:$D$1022,MATCH(B49,Universo_Activos!$C$3:$C$1022,0)),"")</f>
        <v>NG=F</v>
      </c>
      <c r="F49" s="10">
        <f>IFERROR(INDEX(Universo_Activos!$E$3:$E$1022,MATCH(B49,Universo_Activos!$C$3:$C$1022,0)),"")</f>
        <v>0</v>
      </c>
      <c r="G49" s="11">
        <v>76.72</v>
      </c>
      <c r="H49" s="12">
        <v>-0.0529</v>
      </c>
      <c r="I49" s="12">
        <v>0.0649</v>
      </c>
      <c r="J49" s="12">
        <v>0.0256</v>
      </c>
      <c r="K49" s="12">
        <v>-0.0093</v>
      </c>
      <c r="L49" s="12">
        <v>0.0627</v>
      </c>
      <c r="M49" s="11">
        <v>1.13972</v>
      </c>
      <c r="N49" s="11">
        <v>1.14003</v>
      </c>
      <c r="O49" s="11">
        <v>1.139576466067868</v>
      </c>
      <c r="P49" s="11">
        <v>1.139540582584835</v>
      </c>
      <c r="Q49" s="11">
        <v>1.138596475449015</v>
      </c>
      <c r="R49" s="11">
        <v>1.1384841229939164</v>
      </c>
      <c r="S49" s="11">
        <v>1.1377499368624893</v>
      </c>
      <c r="T49" s="11">
        <v>1.1376695261221828</v>
      </c>
      <c r="U49" s="11">
        <v>1.1376783575413316</v>
      </c>
      <c r="V49" s="11">
        <v>1.137650952944571</v>
      </c>
      <c r="W49" s="7">
        <f t="shared" si="18"/>
      </c>
      <c r="X49" s="7">
        <f t="shared" si="19"/>
      </c>
      <c r="Y49" s="11">
        <v>1.13972</v>
      </c>
      <c r="Z49" s="11">
        <v>1.14003</v>
      </c>
      <c r="AA49" s="11">
        <v>1.1380810317652519</v>
      </c>
      <c r="AB49" s="11">
        <v>1.1376712897065648</v>
      </c>
      <c r="AC49" s="11">
        <v>1.1376433367389955</v>
      </c>
      <c r="AD49" s="11">
        <v>1.1374356704128952</v>
      </c>
      <c r="AE49" s="11">
        <v>1.1379489876466264</v>
      </c>
      <c r="AF49" s="11">
        <v>1.1378767014281215</v>
      </c>
      <c r="AG49" s="11">
        <v>1.1393512960439711</v>
      </c>
      <c r="AH49" s="11">
        <v>1.1393463469975815</v>
      </c>
      <c r="AI49" s="7">
        <f t="shared" si="20"/>
      </c>
      <c r="AJ49" s="7">
        <f t="shared" si="21"/>
      </c>
      <c r="AK49" s="7">
        <f>IF(W49&lt;&gt;"",IFERROR(INDEX(Niveles_Importancia!$A$3:$A$30,MATCH("Vela|"&amp;$E$5&amp;"|15 min",Niveles_Importancia!$H$3:$H$30,0)),"Sin clasificar"),IF(X49&lt;&gt;"",IFERROR(INDEX(Niveles_Importancia!$A$3:$A$30,MATCH($E$5&amp;"|"&amp;$E$6&amp;"|15 min",Niveles_Importancia!$H$3:$H$30,0)),"Sin clasificar"),IF(AI49&lt;&gt;"",IFERROR(INDEX(Niveles_Importancia!$A$3:$A$30,MATCH("Vela|"&amp;$E$5&amp;"|1 hora",Niveles_Importancia!$H$3:$H$30,0)),"Sin clasificar"),IF(AJ49&lt;&gt;"",IFERROR(INDEX(Niveles_Importancia!$A$3:$A$30,MATCH($E$5&amp;"|"&amp;$E$6&amp;"|1 hora",Niveles_Importancia!$H$3:$H$30,0)),"Sin clasificar"),""))))</f>
      </c>
      <c r="AL49" s="7">
        <f t="shared" si="22"/>
      </c>
      <c r="AM49" s="7">
        <f t="shared" si="23"/>
      </c>
    </row>
    <row r="50" spans="1:39" x14ac:dyDescent="0.25">
      <c r="A50" s="7">
        <v>39</v>
      </c>
      <c r="B50" s="8" t="s">
        <v>127</v>
      </c>
      <c r="C50" s="10" t="str">
        <f>IFERROR(INDEX(Universo_Activos!$A$3:$A$1022,MATCH(B50,Universo_Activos!$C$3:$C$1022,0)),"")</f>
        <v>Petroleo</v>
      </c>
      <c r="D50" s="10" t="str">
        <f>IFERROR(INDEX(Universo_Activos!$B$3:$B$1022,MATCH(B50,Universo_Activos!$C$3:$C$1022,0)),"")</f>
        <v>NYMEX</v>
      </c>
      <c r="E50" s="10" t="str">
        <f>IFERROR(INDEX(Universo_Activos!$D$3:$D$1022,MATCH(B50,Universo_Activos!$C$3:$C$1022,0)),"")</f>
        <v>CL=F</v>
      </c>
      <c r="F50" s="10">
        <f>IFERROR(INDEX(Universo_Activos!$E$3:$E$1022,MATCH(B50,Universo_Activos!$C$3:$C$1022,0)),"")</f>
        <v>0</v>
      </c>
      <c r="G50" s="11">
        <v>79.94</v>
      </c>
      <c r="H50" s="12">
        <v>-0.0138</v>
      </c>
      <c r="I50" s="12">
        <v>0.0201</v>
      </c>
      <c r="J50" s="12">
        <v>-0.001</v>
      </c>
      <c r="K50" s="12">
        <v>-0.0295</v>
      </c>
      <c r="L50" s="12">
        <v>0.0543</v>
      </c>
      <c r="M50" s="11">
        <v>1.33017</v>
      </c>
      <c r="N50" s="11">
        <v>1.33047</v>
      </c>
      <c r="O50" s="11">
        <v>1.3303390642082802</v>
      </c>
      <c r="P50" s="11">
        <v>1.3303813302603502</v>
      </c>
      <c r="Q50" s="11">
        <v>1.3299116369990274</v>
      </c>
      <c r="R50" s="11">
        <v>1.32988580069893</v>
      </c>
      <c r="S50" s="11">
        <v>1.329581888143273</v>
      </c>
      <c r="T50" s="11">
        <v>1.3295578835776924</v>
      </c>
      <c r="U50" s="11">
        <v>1.330210190603126</v>
      </c>
      <c r="V50" s="11">
        <v>1.330210730074309</v>
      </c>
      <c r="W50" s="7" t="str">
        <f t="shared" si="18"/>
        <v>BAJISTA</v>
      </c>
      <c r="X50" s="7">
        <f t="shared" si="19"/>
      </c>
      <c r="Y50" s="11">
        <v>1.33017</v>
      </c>
      <c r="Z50" s="11">
        <v>1.3309199999999999</v>
      </c>
      <c r="AA50" s="11">
        <v>1.3296584187379816</v>
      </c>
      <c r="AB50" s="11">
        <v>1.329530523422477</v>
      </c>
      <c r="AC50" s="11">
        <v>1.3297158070519384</v>
      </c>
      <c r="AD50" s="11">
        <v>1.329670387757132</v>
      </c>
      <c r="AE50" s="11">
        <v>1.3308628345028086</v>
      </c>
      <c r="AF50" s="11">
        <v>1.3308911134621069</v>
      </c>
      <c r="AG50" s="11">
        <v>1.3345566142624254</v>
      </c>
      <c r="AH50" s="11">
        <v>1.3346154949907802</v>
      </c>
      <c r="AI50" s="7">
        <f t="shared" si="20"/>
      </c>
      <c r="AJ50" s="7">
        <f t="shared" si="21"/>
      </c>
      <c r="AK50" s="7" t="str">
        <f>IF(W50&lt;&gt;"",IFERROR(INDEX(Niveles_Importancia!$A$3:$A$30,MATCH("Vela|"&amp;$E$5&amp;"|15 min",Niveles_Importancia!$H$3:$H$30,0)),"Sin clasificar"),IF(X50&lt;&gt;"",IFERROR(INDEX(Niveles_Importancia!$A$3:$A$30,MATCH($E$5&amp;"|"&amp;$E$6&amp;"|15 min",Niveles_Importancia!$H$3:$H$30,0)),"Sin clasificar"),IF(AI50&lt;&gt;"",IFERROR(INDEX(Niveles_Importancia!$A$3:$A$30,MATCH("Vela|"&amp;$E$5&amp;"|1 hora",Niveles_Importancia!$H$3:$H$30,0)),"Sin clasificar"),IF(AJ50&lt;&gt;"",IFERROR(INDEX(Niveles_Importancia!$A$3:$A$30,MATCH($E$5&amp;"|"&amp;$E$6&amp;"|1 hora",Niveles_Importancia!$H$3:$H$30,0)),"Sin clasificar"),""))))</f>
        <v>Sin clasificar</v>
      </c>
      <c r="AL50" s="7" t="str">
        <f t="shared" si="22"/>
        <v>Cruce bajista detectado en Petroleo WTI (Futuro) (NYMEX). La vela ha cruzado EMA 9 en 15 min. Nivel: Sin clasificar. Precio: 001. 31/07/yyyy 20:15</v>
      </c>
      <c r="AM50" s="7" t="str">
        <f t="shared" si="23"/>
        <v>Petroleo WTI (Futuro)|15min-VelaMA1|yyyy07312015</v>
      </c>
    </row>
    <row r="51" spans="1:39" x14ac:dyDescent="0.25">
      <c r="A51" s="7">
        <v>40</v>
      </c>
      <c r="B51" s="8" t="s">
        <v>128</v>
      </c>
      <c r="C51" s="10" t="str">
        <f>IFERROR(INDEX(Universo_Activos!$A$3:$A$1022,MATCH(B51,Universo_Activos!$C$3:$C$1022,0)),"")</f>
        <v>Cafe</v>
      </c>
      <c r="D51" s="10" t="str">
        <f>IFERROR(INDEX(Universo_Activos!$B$3:$B$1022,MATCH(B51,Universo_Activos!$C$3:$C$1022,0)),"")</f>
        <v>ICE</v>
      </c>
      <c r="E51" s="10" t="str">
        <f>IFERROR(INDEX(Universo_Activos!$D$3:$D$1022,MATCH(B51,Universo_Activos!$C$3:$C$1022,0)),"")</f>
        <v>KC=F</v>
      </c>
      <c r="F51" s="10">
        <f>IFERROR(INDEX(Universo_Activos!$E$3:$E$1022,MATCH(B51,Universo_Activos!$C$3:$C$1022,0)),"")</f>
        <v>0</v>
      </c>
      <c r="G51" s="11">
        <v>196.39</v>
      </c>
      <c r="H51" s="12">
        <v>0.0248</v>
      </c>
      <c r="I51" s="12">
        <v>0.0492</v>
      </c>
      <c r="J51" s="12">
        <v>0.0734</v>
      </c>
      <c r="K51" s="12">
        <v>0.0295</v>
      </c>
      <c r="L51" s="12">
        <v>-0.0481</v>
      </c>
      <c r="M51" s="11">
        <v>64350.72</v>
      </c>
      <c r="N51" s="11">
        <v>64322.01</v>
      </c>
      <c r="O51" s="11">
        <v>64110.176715052105</v>
      </c>
      <c r="P51" s="11">
        <v>64050.04089381513</v>
      </c>
      <c r="Q51" s="11">
        <v>64070.172881340935</v>
      </c>
      <c r="R51" s="11">
        <v>64040.64160569261</v>
      </c>
      <c r="S51" s="11">
        <v>64092.445889691815</v>
      </c>
      <c r="T51" s="11">
        <v>64081.90408927108</v>
      </c>
      <c r="U51" s="11">
        <v>64074.104651002024</v>
      </c>
      <c r="V51" s="11">
        <v>64070.39169329735</v>
      </c>
      <c r="W51" s="7">
        <f t="shared" si="18"/>
      </c>
      <c r="X51" s="7">
        <f t="shared" si="19"/>
      </c>
      <c r="Y51" s="11">
        <v>64350.72</v>
      </c>
      <c r="Z51" s="11">
        <v>64189.4</v>
      </c>
      <c r="AA51" s="11">
        <v>64159.84368011483</v>
      </c>
      <c r="AB51" s="11">
        <v>64112.124600143536</v>
      </c>
      <c r="AC51" s="11">
        <v>64101.96952934672</v>
      </c>
      <c r="AD51" s="11">
        <v>64075.785269277956</v>
      </c>
      <c r="AE51" s="11">
        <v>64084.196062164505</v>
      </c>
      <c r="AF51" s="11">
        <v>64073.31753408958</v>
      </c>
      <c r="AG51" s="11">
        <v>64333.88963898166</v>
      </c>
      <c r="AH51" s="11">
        <v>64333.663728095504</v>
      </c>
      <c r="AI51" s="7">
        <f t="shared" si="20"/>
      </c>
      <c r="AJ51" s="7">
        <f t="shared" si="21"/>
      </c>
      <c r="AK51" s="7">
        <f>IF(W51&lt;&gt;"",IFERROR(INDEX(Niveles_Importancia!$A$3:$A$30,MATCH("Vela|"&amp;$E$5&amp;"|15 min",Niveles_Importancia!$H$3:$H$30,0)),"Sin clasificar"),IF(X51&lt;&gt;"",IFERROR(INDEX(Niveles_Importancia!$A$3:$A$30,MATCH($E$5&amp;"|"&amp;$E$6&amp;"|15 min",Niveles_Importancia!$H$3:$H$30,0)),"Sin clasificar"),IF(AI51&lt;&gt;"",IFERROR(INDEX(Niveles_Importancia!$A$3:$A$30,MATCH("Vela|"&amp;$E$5&amp;"|1 hora",Niveles_Importancia!$H$3:$H$30,0)),"Sin clasificar"),IF(AJ51&lt;&gt;"",IFERROR(INDEX(Niveles_Importancia!$A$3:$A$30,MATCH($E$5&amp;"|"&amp;$E$6&amp;"|1 hora",Niveles_Importancia!$H$3:$H$30,0)),"Sin clasificar"),""))))</f>
      </c>
      <c r="AL51" s="7">
        <f t="shared" si="22"/>
      </c>
      <c r="AM51" s="7">
        <f t="shared" si="23"/>
      </c>
    </row>
    <row r="52" spans="1:39" x14ac:dyDescent="0.25">
      <c r="A52" s="7">
        <v>41</v>
      </c>
      <c r="B52" s="8" t="s">
        <v>129</v>
      </c>
      <c r="C52" s="10" t="str">
        <f>IFERROR(INDEX(Universo_Activos!$A$3:$A$1022,MATCH(B52,Universo_Activos!$C$3:$C$1022,0)),"")</f>
        <v>Otros commodities</v>
      </c>
      <c r="D52" s="10" t="str">
        <f>IFERROR(INDEX(Universo_Activos!$B$3:$B$1022,MATCH(B52,Universo_Activos!$C$3:$C$1022,0)),"")</f>
        <v>CBOT</v>
      </c>
      <c r="E52" s="10" t="str">
        <f>IFERROR(INDEX(Universo_Activos!$D$3:$D$1022,MATCH(B52,Universo_Activos!$C$3:$C$1022,0)),"")</f>
        <v>ZW=F</v>
      </c>
      <c r="F52" s="10">
        <f>IFERROR(INDEX(Universo_Activos!$E$3:$E$1022,MATCH(B52,Universo_Activos!$C$3:$C$1022,0)),"")</f>
        <v>0</v>
      </c>
      <c r="G52" s="11">
        <v>195.15</v>
      </c>
      <c r="H52" s="12">
        <v>0.0656</v>
      </c>
      <c r="I52" s="12">
        <v>-0.0197</v>
      </c>
      <c r="J52" s="12">
        <v>0.011</v>
      </c>
      <c r="K52" s="12">
        <v>0.0607</v>
      </c>
      <c r="L52" s="12">
        <v>0.0475</v>
      </c>
      <c r="M52" s="11">
        <v>1919.4</v>
      </c>
      <c r="N52" s="11">
        <v>1918</v>
      </c>
      <c r="O52" s="11">
        <v>1908.3405888033858</v>
      </c>
      <c r="P52" s="11">
        <v>1905.575736004232</v>
      </c>
      <c r="Q52" s="11">
        <v>1903.8041213564034</v>
      </c>
      <c r="R52" s="11">
        <v>1902.1624499202353</v>
      </c>
      <c r="S52" s="11">
        <v>1904.422135449809</v>
      </c>
      <c r="T52" s="11">
        <v>1903.810794039597</v>
      </c>
      <c r="U52" s="11">
        <v>1907.9678237883966</v>
      </c>
      <c r="V52" s="11">
        <v>1907.8143717587106</v>
      </c>
      <c r="W52" s="7">
        <f t="shared" si="18"/>
      </c>
      <c r="X52" s="7">
        <f t="shared" si="19"/>
      </c>
      <c r="Y52" s="11">
        <v>1919.4</v>
      </c>
      <c r="Z52" s="11">
        <v>1913.63</v>
      </c>
      <c r="AA52" s="11">
        <v>1906.7472825748293</v>
      </c>
      <c r="AB52" s="11">
        <v>1903.5841032185367</v>
      </c>
      <c r="AC52" s="11">
        <v>1906.772482412272</v>
      </c>
      <c r="AD52" s="11">
        <v>1905.4432700346165</v>
      </c>
      <c r="AE52" s="11">
        <v>1907.037041452911</v>
      </c>
      <c r="AF52" s="11">
        <v>1906.5324308999684</v>
      </c>
      <c r="AG52" s="11">
        <v>1900.2126729832498</v>
      </c>
      <c r="AH52" s="11">
        <v>1899.9551249696021</v>
      </c>
      <c r="AI52" s="7">
        <f t="shared" si="20"/>
      </c>
      <c r="AJ52" s="7">
        <f t="shared" si="21"/>
      </c>
      <c r="AK52" s="7">
        <f>IF(W52&lt;&gt;"",IFERROR(INDEX(Niveles_Importancia!$A$3:$A$30,MATCH("Vela|"&amp;$E$5&amp;"|15 min",Niveles_Importancia!$H$3:$H$30,0)),"Sin clasificar"),IF(X52&lt;&gt;"",IFERROR(INDEX(Niveles_Importancia!$A$3:$A$30,MATCH($E$5&amp;"|"&amp;$E$6&amp;"|15 min",Niveles_Importancia!$H$3:$H$30,0)),"Sin clasificar"),IF(AI52&lt;&gt;"",IFERROR(INDEX(Niveles_Importancia!$A$3:$A$30,MATCH("Vela|"&amp;$E$5&amp;"|1 hora",Niveles_Importancia!$H$3:$H$30,0)),"Sin clasificar"),IF(AJ52&lt;&gt;"",IFERROR(INDEX(Niveles_Importancia!$A$3:$A$30,MATCH($E$5&amp;"|"&amp;$E$6&amp;"|1 hora",Niveles_Importancia!$H$3:$H$30,0)),"Sin clasificar"),""))))</f>
      </c>
      <c r="AL52" s="7">
        <f t="shared" si="22"/>
      </c>
      <c r="AM52" s="7">
        <f t="shared" si="23"/>
      </c>
    </row>
    <row r="53" spans="1:39" x14ac:dyDescent="0.25">
      <c r="A53" s="7">
        <v>42</v>
      </c>
      <c r="B53" s="8" t="s">
        <v>130</v>
      </c>
      <c r="C53" s="10" t="str">
        <f>IFERROR(INDEX(Universo_Activos!$A$3:$A$1022,MATCH(B53,Universo_Activos!$C$3:$C$1022,0)),"")</f>
        <v>Acciones Europa</v>
      </c>
      <c r="D53" s="10" t="str">
        <f>IFERROR(INDEX(Universo_Activos!$B$3:$B$1022,MATCH(B53,Universo_Activos!$C$3:$C$1022,0)),"")</f>
        <v>XETRA</v>
      </c>
      <c r="E53" s="10" t="str">
        <f>IFERROR(INDEX(Universo_Activos!$D$3:$D$1022,MATCH(B53,Universo_Activos!$C$3:$C$1022,0)),"")</f>
        <v>XETR:SIE</v>
      </c>
      <c r="F53" s="10" t="str">
        <f>IFERROR(INDEX(Universo_Activos!$E$3:$E$1022,MATCH(B53,Universo_Activos!$C$3:$C$1022,0)),"")</f>
        <v>DE0007236101</v>
      </c>
      <c r="G53" s="11">
        <v>174.08</v>
      </c>
      <c r="H53" s="12">
        <v>0.0429</v>
      </c>
      <c r="I53" s="12">
        <v>-0.002</v>
      </c>
      <c r="J53" s="12">
        <v>-0.0755</v>
      </c>
      <c r="K53" s="12">
        <v>0.0495</v>
      </c>
      <c r="L53" s="12">
        <v>-0.0698</v>
      </c>
      <c r="M53" s="11">
        <v>741.35</v>
      </c>
      <c r="N53" s="11">
        <v>740.74</v>
      </c>
      <c r="O53" s="11">
        <v>737.8982810719934</v>
      </c>
      <c r="P53" s="11">
        <v>737.0353513399918</v>
      </c>
      <c r="Q53" s="11">
        <v>737.1216842494059</v>
      </c>
      <c r="R53" s="11">
        <v>736.6765983809223</v>
      </c>
      <c r="S53" s="11">
        <v>737.7850999480327</v>
      </c>
      <c r="T53" s="11">
        <v>737.6395938234625</v>
      </c>
      <c r="U53" s="11">
        <v>740.3422432807315</v>
      </c>
      <c r="V53" s="11">
        <v>740.3287163449024</v>
      </c>
      <c r="W53" s="7">
        <f t="shared" si="18"/>
      </c>
      <c r="X53" s="7">
        <f t="shared" si="19"/>
      </c>
      <c r="Y53" s="11">
        <v>741.35</v>
      </c>
      <c r="Z53" s="11">
        <v>737.34</v>
      </c>
      <c r="AA53" s="11">
        <v>737.9952301266765</v>
      </c>
      <c r="AB53" s="11">
        <v>737.1565376583455</v>
      </c>
      <c r="AC53" s="11">
        <v>738.6699000939569</v>
      </c>
      <c r="AD53" s="11">
        <v>738.3877843143734</v>
      </c>
      <c r="AE53" s="11">
        <v>741.0991958329633</v>
      </c>
      <c r="AF53" s="11">
        <v>741.0889589281863</v>
      </c>
      <c r="AG53" s="11">
        <v>744.5144985751518</v>
      </c>
      <c r="AH53" s="11">
        <v>744.5569750660935</v>
      </c>
      <c r="AI53" s="7">
        <f t="shared" si="20"/>
      </c>
      <c r="AJ53" s="7">
        <f t="shared" si="21"/>
      </c>
      <c r="AK53" s="7">
        <f>IF(W53&lt;&gt;"",IFERROR(INDEX(Niveles_Importancia!$A$3:$A$30,MATCH("Vela|"&amp;$E$5&amp;"|15 min",Niveles_Importancia!$H$3:$H$30,0)),"Sin clasificar"),IF(X53&lt;&gt;"",IFERROR(INDEX(Niveles_Importancia!$A$3:$A$30,MATCH($E$5&amp;"|"&amp;$E$6&amp;"|15 min",Niveles_Importancia!$H$3:$H$30,0)),"Sin clasificar"),IF(AI53&lt;&gt;"",IFERROR(INDEX(Niveles_Importancia!$A$3:$A$30,MATCH("Vela|"&amp;$E$5&amp;"|1 hora",Niveles_Importancia!$H$3:$H$30,0)),"Sin clasificar"),IF(AJ53&lt;&gt;"",IFERROR(INDEX(Niveles_Importancia!$A$3:$A$30,MATCH($E$5&amp;"|"&amp;$E$6&amp;"|1 hora",Niveles_Importancia!$H$3:$H$30,0)),"Sin clasificar"),""))))</f>
      </c>
      <c r="AL53" s="7">
        <f t="shared" si="22"/>
      </c>
      <c r="AM53" s="7">
        <f t="shared" si="23"/>
      </c>
    </row>
    <row r="54" spans="1:39" x14ac:dyDescent="0.25">
      <c r="A54" s="7">
        <v>43</v>
      </c>
      <c r="B54" s="8" t="s">
        <v>131</v>
      </c>
      <c r="C54" s="10" t="str">
        <f>IFERROR(INDEX(Universo_Activos!$A$3:$A$1022,MATCH(B54,Universo_Activos!$C$3:$C$1022,0)),"")</f>
        <v>Acciones Europa</v>
      </c>
      <c r="D54" s="10" t="str">
        <f>IFERROR(INDEX(Universo_Activos!$B$3:$B$1022,MATCH(B54,Universo_Activos!$C$3:$C$1022,0)),"")</f>
        <v>XETRA</v>
      </c>
      <c r="E54" s="10" t="str">
        <f>IFERROR(INDEX(Universo_Activos!$D$3:$D$1022,MATCH(B54,Universo_Activos!$C$3:$C$1022,0)),"")</f>
        <v>XETR:DBK</v>
      </c>
      <c r="F54" s="10" t="str">
        <f>IFERROR(INDEX(Universo_Activos!$E$3:$E$1022,MATCH(B54,Universo_Activos!$C$3:$C$1022,0)),"")</f>
        <v>DE0005140008</v>
      </c>
      <c r="G54" s="11">
        <v>256.21</v>
      </c>
      <c r="H54" s="12">
        <v>0.0096</v>
      </c>
      <c r="I54" s="12">
        <v>-0.0301</v>
      </c>
      <c r="J54" s="12">
        <v>-0.019</v>
      </c>
      <c r="K54" s="12">
        <v>0.0552</v>
      </c>
      <c r="L54" s="12">
        <v>0.0641</v>
      </c>
      <c r="M54" s="11">
        <v>4064.3</v>
      </c>
      <c r="N54" s="11">
        <v>4064.1</v>
      </c>
      <c r="O54" s="11">
        <v>4048.1800533557953</v>
      </c>
      <c r="P54" s="11">
        <v>4044.150066694744</v>
      </c>
      <c r="Q54" s="11">
        <v>4034.4843155862477</v>
      </c>
      <c r="R54" s="11">
        <v>4031.3458224900633</v>
      </c>
      <c r="S54" s="11">
        <v>4028.2267063881523</v>
      </c>
      <c r="T54" s="11">
        <v>4026.7543270570563</v>
      </c>
      <c r="U54" s="11">
        <v>4035.212857466909</v>
      </c>
      <c r="V54" s="11">
        <v>4034.822426023512</v>
      </c>
      <c r="W54" s="7">
        <f t="shared" si="18"/>
      </c>
      <c r="X54" s="7">
        <f t="shared" si="19"/>
      </c>
      <c r="Y54" s="11">
        <v>4064.3</v>
      </c>
      <c r="Z54" s="11">
        <v>4041</v>
      </c>
      <c r="AA54" s="11">
        <v>4031.664940719321</v>
      </c>
      <c r="AB54" s="11">
        <v>4023.506175899151</v>
      </c>
      <c r="AC54" s="11">
        <v>4029.742348145646</v>
      </c>
      <c r="AD54" s="11">
        <v>4026.1047005820296</v>
      </c>
      <c r="AE54" s="11">
        <v>4039.1587375344293</v>
      </c>
      <c r="AF54" s="11">
        <v>4038.1325635562425</v>
      </c>
      <c r="AG54" s="11">
        <v>4054.6702462693756</v>
      </c>
      <c r="AH54" s="11">
        <v>4054.5409878300384</v>
      </c>
      <c r="AI54" s="7">
        <f t="shared" si="20"/>
      </c>
      <c r="AJ54" s="7" t="str">
        <f t="shared" si="21"/>
        <v>ALCISTA</v>
      </c>
      <c r="AK54" s="7">
        <f>IF(W54&lt;&gt;"",IFERROR(INDEX(Niveles_Importancia!$A$3:$A$30,MATCH("Vela|"&amp;$E$5&amp;"|15 min",Niveles_Importancia!$H$3:$H$30,0)),"Sin clasificar"),IF(X54&lt;&gt;"",IFERROR(INDEX(Niveles_Importancia!$A$3:$A$30,MATCH($E$5&amp;"|"&amp;$E$6&amp;"|15 min",Niveles_Importancia!$H$3:$H$30,0)),"Sin clasificar"),IF(AI54&lt;&gt;"",IFERROR(INDEX(Niveles_Importancia!$A$3:$A$30,MATCH("Vela|"&amp;$E$5&amp;"|1 hora",Niveles_Importancia!$H$3:$H$30,0)),"Sin clasificar"),IF(AJ54&lt;&gt;"",IFERROR(INDEX(Niveles_Importancia!$A$3:$A$30,MATCH($E$5&amp;"|"&amp;$E$6&amp;"|1 hora",Niveles_Importancia!$H$3:$H$30,0)),"Sin clasificar"),""))))</f>
        <v>1</v>
      </c>
      <c r="AL54" s="7" t="str">
        <f t="shared" si="22"/>
        <v>Cruce alcista detectado en Deutsche Bank AG  (XETRA). EMA 9 ha cruzado EMA 20 en 1 hora. Nivel: 1. 31/07/yyyy 20:15</v>
      </c>
      <c r="AM54" s="7" t="str">
        <f t="shared" si="23"/>
        <v>Deutsche Bank AG |1h-MA1MA2|yyyy07312015</v>
      </c>
    </row>
    <row r="55" spans="1:39" x14ac:dyDescent="0.25">
      <c r="A55" s="7">
        <v>44</v>
      </c>
      <c r="B55" s="8" t="s">
        <v>132</v>
      </c>
      <c r="C55" s="10" t="str">
        <f>IFERROR(INDEX(Universo_Activos!$A$3:$A$1022,MATCH(B55,Universo_Activos!$C$3:$C$1022,0)),"")</f>
        <v>Acciones Europa</v>
      </c>
      <c r="D55" s="10" t="str">
        <f>IFERROR(INDEX(Universo_Activos!$B$3:$B$1022,MATCH(B55,Universo_Activos!$C$3:$C$1022,0)),"")</f>
        <v>XETRA</v>
      </c>
      <c r="E55" s="10" t="str">
        <f>IFERROR(INDEX(Universo_Activos!$D$3:$D$1022,MATCH(B55,Universo_Activos!$C$3:$C$1022,0)),"")</f>
        <v>XETR:MBG</v>
      </c>
      <c r="F55" s="10" t="str">
        <f>IFERROR(INDEX(Universo_Activos!$E$3:$E$1022,MATCH(B55,Universo_Activos!$C$3:$C$1022,0)),"")</f>
        <v>DE0007100000</v>
      </c>
      <c r="G55" s="11">
        <v>146.67</v>
      </c>
      <c r="H55" s="12">
        <v>0.0096</v>
      </c>
      <c r="I55" s="12">
        <v>0.0679</v>
      </c>
      <c r="J55" s="12">
        <v>-0.0055</v>
      </c>
      <c r="K55" s="12">
        <v>0.0013</v>
      </c>
      <c r="L55" s="12">
        <v>0.014</v>
      </c>
      <c r="M55" s="11">
        <v>56.46</v>
      </c>
      <c r="N55" s="11">
        <v>56.18</v>
      </c>
      <c r="O55" s="11">
        <v>56.16140087413097</v>
      </c>
      <c r="P55" s="11">
        <v>56.08675109266371</v>
      </c>
      <c r="Q55" s="11">
        <v>56.056456538061624</v>
      </c>
      <c r="R55" s="11">
        <v>56.013978278910216</v>
      </c>
      <c r="S55" s="11">
        <v>56.00697452281864</v>
      </c>
      <c r="T55" s="11">
        <v>55.98848368701532</v>
      </c>
      <c r="U55" s="11">
        <v>55.55353203362553</v>
      </c>
      <c r="V55" s="11">
        <v>55.54136467837218</v>
      </c>
      <c r="W55" s="7">
        <f t="shared" si="18"/>
      </c>
      <c r="X55" s="7">
        <f t="shared" si="19"/>
      </c>
      <c r="Y55" s="11">
        <v>56.46</v>
      </c>
      <c r="Z55" s="11">
        <v>56.02</v>
      </c>
      <c r="AA55" s="11">
        <v>56.09682643901197</v>
      </c>
      <c r="AB55" s="11">
        <v>56.00603304876496</v>
      </c>
      <c r="AC55" s="11">
        <v>55.95711429721635</v>
      </c>
      <c r="AD55" s="11">
        <v>55.90417896008123</v>
      </c>
      <c r="AE55" s="11">
        <v>55.41281726710895</v>
      </c>
      <c r="AF55" s="11">
        <v>55.37007511474605</v>
      </c>
      <c r="AG55" s="11">
        <v>54.98329045590584</v>
      </c>
      <c r="AH55" s="11">
        <v>54.963468851287125</v>
      </c>
      <c r="AI55" s="7">
        <f t="shared" si="20"/>
      </c>
      <c r="AJ55" s="7">
        <f t="shared" si="21"/>
      </c>
      <c r="AK55" s="7">
        <f>IF(W55&lt;&gt;"",IFERROR(INDEX(Niveles_Importancia!$A$3:$A$30,MATCH("Vela|"&amp;$E$5&amp;"|15 min",Niveles_Importancia!$H$3:$H$30,0)),"Sin clasificar"),IF(X55&lt;&gt;"",IFERROR(INDEX(Niveles_Importancia!$A$3:$A$30,MATCH($E$5&amp;"|"&amp;$E$6&amp;"|15 min",Niveles_Importancia!$H$3:$H$30,0)),"Sin clasificar"),IF(AI55&lt;&gt;"",IFERROR(INDEX(Niveles_Importancia!$A$3:$A$30,MATCH("Vela|"&amp;$E$5&amp;"|1 hora",Niveles_Importancia!$H$3:$H$30,0)),"Sin clasificar"),IF(AJ55&lt;&gt;"",IFERROR(INDEX(Niveles_Importancia!$A$3:$A$30,MATCH($E$5&amp;"|"&amp;$E$6&amp;"|1 hora",Niveles_Importancia!$H$3:$H$30,0)),"Sin clasificar"),""))))</f>
      </c>
      <c r="AL55" s="7">
        <f t="shared" si="22"/>
      </c>
      <c r="AM55" s="7">
        <f t="shared" si="23"/>
      </c>
    </row>
    <row r="56" spans="1:39" x14ac:dyDescent="0.25">
      <c r="A56" s="7">
        <v>45</v>
      </c>
      <c r="B56" s="8" t="s">
        <v>133</v>
      </c>
      <c r="C56" s="10" t="str">
        <f>IFERROR(INDEX(Universo_Activos!$A$3:$A$1022,MATCH(B56,Universo_Activos!$C$3:$C$1022,0)),"")</f>
        <v>Acciones Europa</v>
      </c>
      <c r="D56" s="10" t="str">
        <f>IFERROR(INDEX(Universo_Activos!$B$3:$B$1022,MATCH(B56,Universo_Activos!$C$3:$C$1022,0)),"")</f>
        <v>XETRA</v>
      </c>
      <c r="E56" s="10" t="str">
        <f>IFERROR(INDEX(Universo_Activos!$D$3:$D$1022,MATCH(B56,Universo_Activos!$C$3:$C$1022,0)),"")</f>
        <v>XETR:VOW3</v>
      </c>
      <c r="F56" s="10" t="str">
        <f>IFERROR(INDEX(Universo_Activos!$E$3:$E$1022,MATCH(B56,Universo_Activos!$C$3:$C$1022,0)),"")</f>
        <v>DE0007664039</v>
      </c>
      <c r="G56" s="11">
        <v>28.42</v>
      </c>
      <c r="H56" s="12">
        <v>-0.0058</v>
      </c>
      <c r="I56" s="12">
        <v>-0.0095</v>
      </c>
      <c r="J56" s="12">
        <v>0.0548</v>
      </c>
      <c r="K56" s="12">
        <v>0.0031</v>
      </c>
      <c r="L56" s="12">
        <v>0.0224</v>
      </c>
      <c r="M56" s="11">
        <v>20.61</v>
      </c>
      <c r="N56" s="11">
        <v>20.65</v>
      </c>
      <c r="O56" s="11">
        <v>20.717646491294744</v>
      </c>
      <c r="P56" s="11">
        <v>20.74455811411843</v>
      </c>
      <c r="Q56" s="11">
        <v>20.786213502448867</v>
      </c>
      <c r="R56" s="11">
        <v>20.804762292180328</v>
      </c>
      <c r="S56" s="11">
        <v>20.899640921051756</v>
      </c>
      <c r="T56" s="11">
        <v>20.91146299946203</v>
      </c>
      <c r="U56" s="11">
        <v>21.071022917009042</v>
      </c>
      <c r="V56" s="11">
        <v>21.077211144082987</v>
      </c>
      <c r="W56" s="7">
        <f t="shared" si="18"/>
      </c>
      <c r="X56" s="7">
        <f t="shared" si="19"/>
      </c>
      <c r="Y56" s="11">
        <v>20.61</v>
      </c>
      <c r="Z56" s="11">
        <v>20.67</v>
      </c>
      <c r="AA56" s="11">
        <v>20.81138726116584</v>
      </c>
      <c r="AB56" s="11">
        <v>20.861734076457303</v>
      </c>
      <c r="AC56" s="11">
        <v>20.943990701180706</v>
      </c>
      <c r="AD56" s="11">
        <v>20.979147617094466</v>
      </c>
      <c r="AE56" s="11">
        <v>21.076157742600703</v>
      </c>
      <c r="AF56" s="11">
        <v>21.095184589237466</v>
      </c>
      <c r="AG56" s="11">
        <v>21.130187906290544</v>
      </c>
      <c r="AH56" s="11">
        <v>21.137170294294442</v>
      </c>
      <c r="AI56" s="7">
        <f t="shared" si="20"/>
      </c>
      <c r="AJ56" s="7">
        <f t="shared" si="21"/>
      </c>
      <c r="AK56" s="7">
        <f>IF(W56&lt;&gt;"",IFERROR(INDEX(Niveles_Importancia!$A$3:$A$30,MATCH("Vela|"&amp;$E$5&amp;"|15 min",Niveles_Importancia!$H$3:$H$30,0)),"Sin clasificar"),IF(X56&lt;&gt;"",IFERROR(INDEX(Niveles_Importancia!$A$3:$A$30,MATCH($E$5&amp;"|"&amp;$E$6&amp;"|15 min",Niveles_Importancia!$H$3:$H$30,0)),"Sin clasificar"),IF(AI56&lt;&gt;"",IFERROR(INDEX(Niveles_Importancia!$A$3:$A$30,MATCH("Vela|"&amp;$E$5&amp;"|1 hora",Niveles_Importancia!$H$3:$H$30,0)),"Sin clasificar"),IF(AJ56&lt;&gt;"",IFERROR(INDEX(Niveles_Importancia!$A$3:$A$30,MATCH($E$5&amp;"|"&amp;$E$6&amp;"|1 hora",Niveles_Importancia!$H$3:$H$30,0)),"Sin clasificar"),""))))</f>
      </c>
      <c r="AL56" s="7">
        <f t="shared" si="22"/>
      </c>
      <c r="AM56" s="7">
        <f t="shared" si="23"/>
      </c>
    </row>
    <row r="57" spans="1:39" x14ac:dyDescent="0.25">
      <c r="A57" s="7">
        <v>46</v>
      </c>
      <c r="B57" s="8" t="s">
        <v>134</v>
      </c>
      <c r="C57" s="10" t="str">
        <f>IFERROR(INDEX(Universo_Activos!$A$3:$A$1022,MATCH(B57,Universo_Activos!$C$3:$C$1022,0)),"")</f>
        <v>Acciones Europa</v>
      </c>
      <c r="D57" s="10" t="str">
        <f>IFERROR(INDEX(Universo_Activos!$B$3:$B$1022,MATCH(B57,Universo_Activos!$C$3:$C$1022,0)),"")</f>
        <v>XETRA</v>
      </c>
      <c r="E57" s="10" t="str">
        <f>IFERROR(INDEX(Universo_Activos!$D$3:$D$1022,MATCH(B57,Universo_Activos!$C$3:$C$1022,0)),"")</f>
        <v>XETR:BMW</v>
      </c>
      <c r="F57" s="10" t="str">
        <f>IFERROR(INDEX(Universo_Activos!$E$3:$E$1022,MATCH(B57,Universo_Activos!$C$3:$C$1022,0)),"")</f>
        <v>DE0005190003</v>
      </c>
      <c r="G57" s="11">
        <v>274.88</v>
      </c>
      <c r="H57" s="12">
        <v>-0.0048</v>
      </c>
      <c r="I57" s="12">
        <v>0.0769</v>
      </c>
      <c r="J57" s="12">
        <v>-0.0164</v>
      </c>
      <c r="K57" s="12">
        <v>-0.0683</v>
      </c>
      <c r="L57" s="12">
        <v>0.0207</v>
      </c>
      <c r="M57" s="11">
        <v>11.952</v>
      </c>
      <c r="N57" s="11">
        <v>11.934</v>
      </c>
      <c r="O57" s="11">
        <v>11.973288757524612</v>
      </c>
      <c r="P57" s="11">
        <v>11.978610946905764</v>
      </c>
      <c r="Q57" s="11">
        <v>11.998768446436754</v>
      </c>
      <c r="R57" s="11">
        <v>12.003691440798518</v>
      </c>
      <c r="S57" s="11">
        <v>12.059887722129899</v>
      </c>
      <c r="T57" s="11">
        <v>12.064291302624996</v>
      </c>
      <c r="U57" s="11">
        <v>12.072704963490407</v>
      </c>
      <c r="V57" s="11">
        <v>12.074325164342628</v>
      </c>
      <c r="W57" s="7">
        <f t="shared" si="18"/>
      </c>
      <c r="X57" s="7">
        <f t="shared" si="19"/>
      </c>
      <c r="Y57" s="11">
        <v>11.952</v>
      </c>
      <c r="Z57" s="11">
        <v>11.972</v>
      </c>
      <c r="AA57" s="11">
        <v>12.030948320273424</v>
      </c>
      <c r="AB57" s="11">
        <v>12.05068540034178</v>
      </c>
      <c r="AC57" s="11">
        <v>12.084820868085833</v>
      </c>
      <c r="AD57" s="11">
        <v>12.098802012094868</v>
      </c>
      <c r="AE57" s="11">
        <v>12.06435682198969</v>
      </c>
      <c r="AF57" s="11">
        <v>12.068942814723965</v>
      </c>
      <c r="AG57" s="11">
        <v>12.003302797184261</v>
      </c>
      <c r="AH57" s="11">
        <v>12.003991425334386</v>
      </c>
      <c r="AI57" s="7">
        <f t="shared" si="20"/>
      </c>
      <c r="AJ57" s="7">
        <f t="shared" si="21"/>
      </c>
      <c r="AK57" s="7">
        <f>IF(W57&lt;&gt;"",IFERROR(INDEX(Niveles_Importancia!$A$3:$A$30,MATCH("Vela|"&amp;$E$5&amp;"|15 min",Niveles_Importancia!$H$3:$H$30,0)),"Sin clasificar"),IF(X57&lt;&gt;"",IFERROR(INDEX(Niveles_Importancia!$A$3:$A$30,MATCH($E$5&amp;"|"&amp;$E$6&amp;"|15 min",Niveles_Importancia!$H$3:$H$30,0)),"Sin clasificar"),IF(AI57&lt;&gt;"",IFERROR(INDEX(Niveles_Importancia!$A$3:$A$30,MATCH("Vela|"&amp;$E$5&amp;"|1 hora",Niveles_Importancia!$H$3:$H$30,0)),"Sin clasificar"),IF(AJ57&lt;&gt;"",IFERROR(INDEX(Niveles_Importancia!$A$3:$A$30,MATCH($E$5&amp;"|"&amp;$E$6&amp;"|1 hora",Niveles_Importancia!$H$3:$H$30,0)),"Sin clasificar"),""))))</f>
      </c>
      <c r="AL57" s="7">
        <f t="shared" si="22"/>
      </c>
      <c r="AM57" s="7">
        <f t="shared" si="23"/>
      </c>
    </row>
    <row r="58" spans="1:39" x14ac:dyDescent="0.25">
      <c r="A58" s="7">
        <v>47</v>
      </c>
      <c r="B58" s="8" t="s">
        <v>135</v>
      </c>
      <c r="C58" s="10" t="str">
        <f>IFERROR(INDEX(Universo_Activos!$A$3:$A$1022,MATCH(B58,Universo_Activos!$C$3:$C$1022,0)),"")</f>
        <v>Acciones Europa</v>
      </c>
      <c r="D58" s="10" t="str">
        <f>IFERROR(INDEX(Universo_Activos!$B$3:$B$1022,MATCH(B58,Universo_Activos!$C$3:$C$1022,0)),"")</f>
        <v>XETRA</v>
      </c>
      <c r="E58" s="10" t="str">
        <f>IFERROR(INDEX(Universo_Activos!$D$3:$D$1022,MATCH(B58,Universo_Activos!$C$3:$C$1022,0)),"")</f>
        <v>XETR:BAS</v>
      </c>
      <c r="F58" s="10" t="str">
        <f>IFERROR(INDEX(Universo_Activos!$E$3:$E$1022,MATCH(B58,Universo_Activos!$C$3:$C$1022,0)),"")</f>
        <v>DE000BASF111</v>
      </c>
      <c r="G58" s="11">
        <v>79.6</v>
      </c>
      <c r="H58" s="12">
        <v>-0.0368</v>
      </c>
      <c r="I58" s="12">
        <v>0.0753</v>
      </c>
      <c r="J58" s="12">
        <v>0.0485</v>
      </c>
      <c r="K58" s="12">
        <v>-0.0313</v>
      </c>
      <c r="L58" s="12">
        <v>0.0616</v>
      </c>
      <c r="M58" s="11">
        <v>466.8</v>
      </c>
      <c r="N58" s="11">
        <v>468.15</v>
      </c>
      <c r="O58" s="11">
        <v>467.87043480433647</v>
      </c>
      <c r="P58" s="11">
        <v>468.13804350542057</v>
      </c>
      <c r="Q58" s="11">
        <v>468.8773328445699</v>
      </c>
      <c r="R58" s="11">
        <v>469.0959994597878</v>
      </c>
      <c r="S58" s="11">
        <v>468.3337786918833</v>
      </c>
      <c r="T58" s="11">
        <v>468.3963819037969</v>
      </c>
      <c r="U58" s="11">
        <v>467.74040097354373</v>
      </c>
      <c r="V58" s="11">
        <v>467.75302380540336</v>
      </c>
      <c r="W58" s="7" t="str">
        <f t="shared" si="18"/>
        <v>BAJISTA</v>
      </c>
      <c r="X58" s="7">
        <f t="shared" si="19"/>
      </c>
      <c r="Y58" s="11">
        <v>466.8</v>
      </c>
      <c r="Z58" s="11">
        <v>465.9</v>
      </c>
      <c r="AA58" s="11">
        <v>468.7005949804359</v>
      </c>
      <c r="AB58" s="11">
        <v>469.17574372554486</v>
      </c>
      <c r="AC58" s="11">
        <v>467.334548525836</v>
      </c>
      <c r="AD58" s="11">
        <v>467.39081679171346</v>
      </c>
      <c r="AE58" s="11">
        <v>468.12707401946045</v>
      </c>
      <c r="AF58" s="11">
        <v>468.181240305969</v>
      </c>
      <c r="AG58" s="11">
        <v>478.01633307994376</v>
      </c>
      <c r="AH58" s="11">
        <v>478.16688788638595</v>
      </c>
      <c r="AI58" s="7">
        <f t="shared" si="20"/>
      </c>
      <c r="AJ58" s="7">
        <f t="shared" si="21"/>
      </c>
      <c r="AK58" s="7" t="str">
        <f>IF(W58&lt;&gt;"",IFERROR(INDEX(Niveles_Importancia!$A$3:$A$30,MATCH("Vela|"&amp;$E$5&amp;"|15 min",Niveles_Importancia!$H$3:$H$30,0)),"Sin clasificar"),IF(X58&lt;&gt;"",IFERROR(INDEX(Niveles_Importancia!$A$3:$A$30,MATCH($E$5&amp;"|"&amp;$E$6&amp;"|15 min",Niveles_Importancia!$H$3:$H$30,0)),"Sin clasificar"),IF(AI58&lt;&gt;"",IFERROR(INDEX(Niveles_Importancia!$A$3:$A$30,MATCH("Vela|"&amp;$E$5&amp;"|1 hora",Niveles_Importancia!$H$3:$H$30,0)),"Sin clasificar"),IF(AJ58&lt;&gt;"",IFERROR(INDEX(Niveles_Importancia!$A$3:$A$30,MATCH($E$5&amp;"|"&amp;$E$6&amp;"|1 hora",Niveles_Importancia!$H$3:$H$30,0)),"Sin clasificar"),""))))</f>
        <v>Sin clasificar</v>
      </c>
      <c r="AL58" s="7" t="str">
        <f t="shared" si="22"/>
        <v>Cruce bajista detectado en BASF SE  (XETRA). La vela ha cruzado EMA 9 en 15 min. Nivel: Sin clasificar. Precio: 467. 31/07/yyyy 20:15</v>
      </c>
      <c r="AM58" s="7" t="str">
        <f t="shared" si="23"/>
        <v>BASF SE |15min-VelaMA1|yyyy07312015</v>
      </c>
    </row>
    <row r="59" spans="1:39" x14ac:dyDescent="0.25">
      <c r="A59" s="7">
        <v>48</v>
      </c>
      <c r="B59" s="8" t="s">
        <v>136</v>
      </c>
      <c r="C59" s="10" t="str">
        <f>IFERROR(INDEX(Universo_Activos!$A$3:$A$1022,MATCH(B59,Universo_Activos!$C$3:$C$1022,0)),"")</f>
        <v>Acciones Europa</v>
      </c>
      <c r="D59" s="10" t="str">
        <f>IFERROR(INDEX(Universo_Activos!$B$3:$B$1022,MATCH(B59,Universo_Activos!$C$3:$C$1022,0)),"")</f>
        <v>XETRA</v>
      </c>
      <c r="E59" s="10" t="str">
        <f>IFERROR(INDEX(Universo_Activos!$D$3:$D$1022,MATCH(B59,Universo_Activos!$C$3:$C$1022,0)),"")</f>
        <v>XETR:BAYN</v>
      </c>
      <c r="F59" s="10" t="str">
        <f>IFERROR(INDEX(Universo_Activos!$E$3:$E$1022,MATCH(B59,Universo_Activos!$C$3:$C$1022,0)),"")</f>
        <v>DE000BAY0017</v>
      </c>
      <c r="G59" s="11">
        <v>180.88</v>
      </c>
      <c r="H59" s="12">
        <v>0.0586</v>
      </c>
      <c r="I59" s="12">
        <v>-0.0507</v>
      </c>
      <c r="J59" s="12">
        <v>-0.0553</v>
      </c>
      <c r="K59" s="12">
        <v>0.0653</v>
      </c>
      <c r="L59" s="12">
        <v>0.0508</v>
      </c>
      <c r="M59" s="11">
        <v>162.8</v>
      </c>
      <c r="N59" s="11">
        <v>163.04</v>
      </c>
      <c r="O59" s="11">
        <v>162.02401094208562</v>
      </c>
      <c r="P59" s="11">
        <v>161.83001367760704</v>
      </c>
      <c r="Q59" s="11">
        <v>160.892501786353</v>
      </c>
      <c r="R59" s="11">
        <v>160.69171250070593</v>
      </c>
      <c r="S59" s="11">
        <v>158.419958926268</v>
      </c>
      <c r="T59" s="11">
        <v>158.24118173958507</v>
      </c>
      <c r="U59" s="11">
        <v>150.86605250777296</v>
      </c>
      <c r="V59" s="11">
        <v>150.7058652931122</v>
      </c>
      <c r="W59" s="7">
        <f t="shared" si="18"/>
      </c>
      <c r="X59" s="7">
        <f t="shared" si="19"/>
      </c>
      <c r="Y59" s="11">
        <v>162.8</v>
      </c>
      <c r="Z59" s="11">
        <v>162.5</v>
      </c>
      <c r="AA59" s="11">
        <v>160.2918874341871</v>
      </c>
      <c r="AB59" s="11">
        <v>159.66485929273387</v>
      </c>
      <c r="AC59" s="11">
        <v>156.64441495590808</v>
      </c>
      <c r="AD59" s="11">
        <v>155.99645863547735</v>
      </c>
      <c r="AE59" s="11">
        <v>149.14904812616723</v>
      </c>
      <c r="AF59" s="11">
        <v>148.5918664170312</v>
      </c>
      <c r="AG59" s="11">
        <v>142.1365475695528</v>
      </c>
      <c r="AH59" s="11">
        <v>141.8591857919629</v>
      </c>
      <c r="AI59" s="7">
        <f t="shared" si="20"/>
      </c>
      <c r="AJ59" s="7">
        <f t="shared" si="21"/>
      </c>
      <c r="AK59" s="7">
        <f>IF(W59&lt;&gt;"",IFERROR(INDEX(Niveles_Importancia!$A$3:$A$30,MATCH("Vela|"&amp;$E$5&amp;"|15 min",Niveles_Importancia!$H$3:$H$30,0)),"Sin clasificar"),IF(X59&lt;&gt;"",IFERROR(INDEX(Niveles_Importancia!$A$3:$A$30,MATCH($E$5&amp;"|"&amp;$E$6&amp;"|15 min",Niveles_Importancia!$H$3:$H$30,0)),"Sin clasificar"),IF(AI59&lt;&gt;"",IFERROR(INDEX(Niveles_Importancia!$A$3:$A$30,MATCH("Vela|"&amp;$E$5&amp;"|1 hora",Niveles_Importancia!$H$3:$H$30,0)),"Sin clasificar"),IF(AJ59&lt;&gt;"",IFERROR(INDEX(Niveles_Importancia!$A$3:$A$30,MATCH($E$5&amp;"|"&amp;$E$6&amp;"|1 hora",Niveles_Importancia!$H$3:$H$30,0)),"Sin clasificar"),""))))</f>
      </c>
      <c r="AL59" s="7">
        <f t="shared" si="22"/>
      </c>
      <c r="AM59" s="7">
        <f t="shared" si="23"/>
      </c>
    </row>
    <row r="60" spans="1:39" x14ac:dyDescent="0.25">
      <c r="A60" s="7">
        <v>49</v>
      </c>
      <c r="B60" s="8" t="s">
        <v>137</v>
      </c>
      <c r="C60" s="10" t="str">
        <f>IFERROR(INDEX(Universo_Activos!$A$3:$A$1022,MATCH(B60,Universo_Activos!$C$3:$C$1022,0)),"")</f>
        <v>Acciones USA</v>
      </c>
      <c r="D60" s="10" t="str">
        <f>IFERROR(INDEX(Universo_Activos!$B$3:$B$1022,MATCH(B60,Universo_Activos!$C$3:$C$1022,0)),"")</f>
        <v>NYSE/NASDAQ</v>
      </c>
      <c r="E60" s="10" t="str">
        <f>IFERROR(INDEX(Universo_Activos!$D$3:$D$1022,MATCH(B60,Universo_Activos!$C$3:$C$1022,0)),"")</f>
        <v>NASDAQ:AAPL</v>
      </c>
      <c r="F60" s="10" t="str">
        <f>IFERROR(INDEX(Universo_Activos!$E$3:$E$1022,MATCH(B60,Universo_Activos!$C$3:$C$1022,0)),"")</f>
        <v>US0378331005</v>
      </c>
      <c r="G60" s="11">
        <v>39.26</v>
      </c>
      <c r="H60" s="12">
        <v>-0.0435</v>
      </c>
      <c r="I60" s="12">
        <v>0.0095</v>
      </c>
      <c r="J60" s="12">
        <v>0.0564</v>
      </c>
      <c r="K60" s="12">
        <v>0.0183</v>
      </c>
      <c r="L60" s="12">
        <v>-0.0352</v>
      </c>
      <c r="M60" s="11">
        <v>343.495</v>
      </c>
      <c r="N60" s="11">
        <v>343.695</v>
      </c>
      <c r="O60" s="11">
        <v>342.96764759805137</v>
      </c>
      <c r="P60" s="11">
        <v>342.8358094975642</v>
      </c>
      <c r="Q60" s="11">
        <v>342.0359993644087</v>
      </c>
      <c r="R60" s="11">
        <v>341.88242035013593</v>
      </c>
      <c r="S60" s="11">
        <v>340.0608759765768</v>
      </c>
      <c r="T60" s="11">
        <v>339.92070764909016</v>
      </c>
      <c r="U60" s="11">
        <v>334.8318524240292</v>
      </c>
      <c r="V60" s="11">
        <v>334.71556856394903</v>
      </c>
      <c r="W60" s="7">
        <f t="shared" si="18"/>
      </c>
      <c r="X60" s="7">
        <f t="shared" si="19"/>
      </c>
      <c r="Y60" s="11">
        <v>343.495</v>
      </c>
      <c r="Z60" s="11">
        <v>343.6</v>
      </c>
      <c r="AA60" s="11">
        <v>341.4473227361075</v>
      </c>
      <c r="AB60" s="11">
        <v>340.9354034201344</v>
      </c>
      <c r="AC60" s="11">
        <v>338.75188286580726</v>
      </c>
      <c r="AD60" s="11">
        <v>338.2526073779975</v>
      </c>
      <c r="AE60" s="11">
        <v>333.45537903042117</v>
      </c>
      <c r="AF60" s="11">
        <v>333.0455985826833</v>
      </c>
      <c r="AG60" s="11">
        <v>322.498394525683</v>
      </c>
      <c r="AH60" s="11">
        <v>322.2165608951553</v>
      </c>
      <c r="AI60" s="7">
        <f t="shared" si="20"/>
      </c>
      <c r="AJ60" s="7">
        <f t="shared" si="21"/>
      </c>
      <c r="AK60" s="7">
        <f>IF(W60&lt;&gt;"",IFERROR(INDEX(Niveles_Importancia!$A$3:$A$30,MATCH("Vela|"&amp;$E$5&amp;"|15 min",Niveles_Importancia!$H$3:$H$30,0)),"Sin clasificar"),IF(X60&lt;&gt;"",IFERROR(INDEX(Niveles_Importancia!$A$3:$A$30,MATCH($E$5&amp;"|"&amp;$E$6&amp;"|15 min",Niveles_Importancia!$H$3:$H$30,0)),"Sin clasificar"),IF(AI60&lt;&gt;"",IFERROR(INDEX(Niveles_Importancia!$A$3:$A$30,MATCH("Vela|"&amp;$E$5&amp;"|1 hora",Niveles_Importancia!$H$3:$H$30,0)),"Sin clasificar"),IF(AJ60&lt;&gt;"",IFERROR(INDEX(Niveles_Importancia!$A$3:$A$30,MATCH($E$5&amp;"|"&amp;$E$6&amp;"|1 hora",Niveles_Importancia!$H$3:$H$30,0)),"Sin clasificar"),""))))</f>
      </c>
      <c r="AL60" s="7">
        <f t="shared" si="22"/>
      </c>
      <c r="AM60" s="7">
        <f t="shared" si="23"/>
      </c>
    </row>
    <row r="61" spans="1:39" x14ac:dyDescent="0.25">
      <c r="A61" s="7">
        <v>50</v>
      </c>
      <c r="B61" s="8" t="s">
        <v>138</v>
      </c>
      <c r="C61" s="10" t="str">
        <f>IFERROR(INDEX(Universo_Activos!$A$3:$A$1022,MATCH(B61,Universo_Activos!$C$3:$C$1022,0)),"")</f>
        <v>Acciones USA</v>
      </c>
      <c r="D61" s="10" t="str">
        <f>IFERROR(INDEX(Universo_Activos!$B$3:$B$1022,MATCH(B61,Universo_Activos!$C$3:$C$1022,0)),"")</f>
        <v>NYSE/NASDAQ</v>
      </c>
      <c r="E61" s="10" t="str">
        <f>IFERROR(INDEX(Universo_Activos!$D$3:$D$1022,MATCH(B61,Universo_Activos!$C$3:$C$1022,0)),"")</f>
        <v>NASDAQ:MSFT</v>
      </c>
      <c r="F61" s="10" t="str">
        <f>IFERROR(INDEX(Universo_Activos!$E$3:$E$1022,MATCH(B61,Universo_Activos!$C$3:$C$1022,0)),"")</f>
        <v>US5949181045</v>
      </c>
      <c r="G61" s="11">
        <v>216.27</v>
      </c>
      <c r="H61" s="12">
        <v>0.074</v>
      </c>
      <c r="I61" s="12">
        <v>-0.0766</v>
      </c>
      <c r="J61" s="12">
        <v>0.0218</v>
      </c>
      <c r="K61" s="12">
        <v>-0.0028</v>
      </c>
      <c r="L61" s="12">
        <v>0.0369</v>
      </c>
      <c r="M61" s="11">
        <v>400.45</v>
      </c>
      <c r="N61" s="11">
        <v>399.15</v>
      </c>
      <c r="O61" s="11">
        <v>397.72969630686225</v>
      </c>
      <c r="P61" s="11">
        <v>397.0496203835778</v>
      </c>
      <c r="Q61" s="11">
        <v>396.42652133961946</v>
      </c>
      <c r="R61" s="11">
        <v>396.0029972701057</v>
      </c>
      <c r="S61" s="11">
        <v>394.952058511691</v>
      </c>
      <c r="T61" s="11">
        <v>394.727652736658</v>
      </c>
      <c r="U61" s="11">
        <v>392.45661674979596</v>
      </c>
      <c r="V61" s="11">
        <v>392.3493230148939</v>
      </c>
      <c r="W61" s="7">
        <f t="shared" si="18"/>
      </c>
      <c r="X61" s="7">
        <f t="shared" si="19"/>
      </c>
      <c r="Y61" s="11">
        <v>400.45</v>
      </c>
      <c r="Z61" s="11">
        <v>398.7</v>
      </c>
      <c r="AA61" s="11">
        <v>396.5568956057862</v>
      </c>
      <c r="AB61" s="11">
        <v>395.58361950723275</v>
      </c>
      <c r="AC61" s="11">
        <v>394.32573068591864</v>
      </c>
      <c r="AD61" s="11">
        <v>393.6810707581206</v>
      </c>
      <c r="AE61" s="11">
        <v>392.3074205354215</v>
      </c>
      <c r="AF61" s="11">
        <v>391.9750703531938</v>
      </c>
      <c r="AG61" s="11">
        <v>392.1834445401125</v>
      </c>
      <c r="AH61" s="11">
        <v>392.07248406414084</v>
      </c>
      <c r="AI61" s="7">
        <f t="shared" si="20"/>
      </c>
      <c r="AJ61" s="7">
        <f t="shared" si="21"/>
      </c>
      <c r="AK61" s="7">
        <f>IF(W61&lt;&gt;"",IFERROR(INDEX(Niveles_Importancia!$A$3:$A$30,MATCH("Vela|"&amp;$E$5&amp;"|15 min",Niveles_Importancia!$H$3:$H$30,0)),"Sin clasificar"),IF(X61&lt;&gt;"",IFERROR(INDEX(Niveles_Importancia!$A$3:$A$30,MATCH($E$5&amp;"|"&amp;$E$6&amp;"|15 min",Niveles_Importancia!$H$3:$H$30,0)),"Sin clasificar"),IF(AI61&lt;&gt;"",IFERROR(INDEX(Niveles_Importancia!$A$3:$A$30,MATCH("Vela|"&amp;$E$5&amp;"|1 hora",Niveles_Importancia!$H$3:$H$30,0)),"Sin clasificar"),IF(AJ61&lt;&gt;"",IFERROR(INDEX(Niveles_Importancia!$A$3:$A$30,MATCH($E$5&amp;"|"&amp;$E$6&amp;"|1 hora",Niveles_Importancia!$H$3:$H$30,0)),"Sin clasificar"),""))))</f>
      </c>
      <c r="AL61" s="7">
        <f t="shared" si="22"/>
      </c>
      <c r="AM61" s="7">
        <f t="shared" si="23"/>
      </c>
    </row>
    <row r="62" spans="1:39" x14ac:dyDescent="0.25">
      <c r="A62" s="7">
        <v>51</v>
      </c>
      <c r="B62" s="8" t="s">
        <v>139</v>
      </c>
      <c r="C62" s="10" t="str">
        <f>IFERROR(INDEX(Universo_Activos!$A$3:$A$1022,MATCH(B62,Universo_Activos!$C$3:$C$1022,0)),"")</f>
        <v>Acciones USA</v>
      </c>
      <c r="D62" s="10" t="str">
        <f>IFERROR(INDEX(Universo_Activos!$B$3:$B$1022,MATCH(B62,Universo_Activos!$C$3:$C$1022,0)),"")</f>
        <v>NYSE/NASDAQ</v>
      </c>
      <c r="E62" s="10" t="str">
        <f>IFERROR(INDEX(Universo_Activos!$D$3:$D$1022,MATCH(B62,Universo_Activos!$C$3:$C$1022,0)),"")</f>
        <v>NASDAQ:NVDA</v>
      </c>
      <c r="F62" s="10" t="str">
        <f>IFERROR(INDEX(Universo_Activos!$E$3:$E$1022,MATCH(B62,Universo_Activos!$C$3:$C$1022,0)),"")</f>
        <v>US67066G1040</v>
      </c>
      <c r="G62" s="11">
        <v>183.15</v>
      </c>
      <c r="H62" s="12">
        <v>0.0174</v>
      </c>
      <c r="I62" s="12">
        <v>-0.0672</v>
      </c>
      <c r="J62" s="12">
        <v>0.0223</v>
      </c>
      <c r="K62" s="12">
        <v>0.0789</v>
      </c>
      <c r="L62" s="12">
        <v>0.0608</v>
      </c>
      <c r="M62" s="11">
        <v>304.96</v>
      </c>
      <c r="N62" s="11">
        <v>304.4</v>
      </c>
      <c r="O62" s="11">
        <v>303.47206143357977</v>
      </c>
      <c r="P62" s="11">
        <v>303.10007679197474</v>
      </c>
      <c r="Q62" s="11">
        <v>303.4582416293195</v>
      </c>
      <c r="R62" s="11">
        <v>303.3001618008268</v>
      </c>
      <c r="S62" s="11">
        <v>305.28698458337374</v>
      </c>
      <c r="T62" s="11">
        <v>305.3003308928992</v>
      </c>
      <c r="U62" s="11">
        <v>321.7337749041128</v>
      </c>
      <c r="V62" s="11">
        <v>321.9589262451076</v>
      </c>
      <c r="W62" s="7">
        <f t="shared" si="18"/>
      </c>
      <c r="X62" s="7" t="str">
        <f t="shared" si="19"/>
        <v>ALCISTA</v>
      </c>
      <c r="Y62" s="11">
        <v>304.96</v>
      </c>
      <c r="Z62" s="11">
        <v>302.62</v>
      </c>
      <c r="AA62" s="11">
        <v>304.1534957759352</v>
      </c>
      <c r="AB62" s="11">
        <v>303.951869719919</v>
      </c>
      <c r="AC62" s="11">
        <v>308.2165465268921</v>
      </c>
      <c r="AD62" s="11">
        <v>308.5593408981439</v>
      </c>
      <c r="AE62" s="11">
        <v>327.44218938018787</v>
      </c>
      <c r="AF62" s="11">
        <v>328.3598297630527</v>
      </c>
      <c r="AG62" s="11">
        <v>363.4163646519249</v>
      </c>
      <c r="AH62" s="11">
        <v>364.2010138418836</v>
      </c>
      <c r="AI62" s="7" t="str">
        <f t="shared" si="20"/>
        <v>ALCISTA</v>
      </c>
      <c r="AJ62" s="7">
        <f t="shared" si="21"/>
      </c>
      <c r="AK62" s="7">
        <f>IF(W62&lt;&gt;"",IFERROR(INDEX(Niveles_Importancia!$A$3:$A$30,MATCH("Vela|"&amp;$E$5&amp;"|15 min",Niveles_Importancia!$H$3:$H$30,0)),"Sin clasificar"),IF(X62&lt;&gt;"",IFERROR(INDEX(Niveles_Importancia!$A$3:$A$30,MATCH($E$5&amp;"|"&amp;$E$6&amp;"|15 min",Niveles_Importancia!$H$3:$H$30,0)),"Sin clasificar"),IF(AI62&lt;&gt;"",IFERROR(INDEX(Niveles_Importancia!$A$3:$A$30,MATCH("Vela|"&amp;$E$5&amp;"|1 hora",Niveles_Importancia!$H$3:$H$30,0)),"Sin clasificar"),IF(AJ62&lt;&gt;"",IFERROR(INDEX(Niveles_Importancia!$A$3:$A$30,MATCH($E$5&amp;"|"&amp;$E$6&amp;"|1 hora",Niveles_Importancia!$H$3:$H$30,0)),"Sin clasificar"),""))))</f>
        <v>1</v>
      </c>
      <c r="AL62" s="7" t="str">
        <f t="shared" si="22"/>
        <v>Cruce alcista detectado en NVIDIA (NYSE/NASDAQ). EMA 9 ha cruzado EMA 20 en 15 min. Nivel: 1. 31/07/yyyy 20:15</v>
      </c>
      <c r="AM62" s="7" t="str">
        <f t="shared" si="23"/>
        <v>NVIDIA|15min-MA1MA2|yyyy07312015</v>
      </c>
    </row>
    <row r="63" spans="1:39" x14ac:dyDescent="0.25">
      <c r="A63" s="7">
        <v>52</v>
      </c>
      <c r="B63" s="8" t="s">
        <v>140</v>
      </c>
      <c r="C63" s="10" t="str">
        <f>IFERROR(INDEX(Universo_Activos!$A$3:$A$1022,MATCH(B63,Universo_Activos!$C$3:$C$1022,0)),"")</f>
        <v>Acciones USA</v>
      </c>
      <c r="D63" s="10" t="str">
        <f>IFERROR(INDEX(Universo_Activos!$B$3:$B$1022,MATCH(B63,Universo_Activos!$C$3:$C$1022,0)),"")</f>
        <v>NYSE/NASDAQ</v>
      </c>
      <c r="E63" s="10" t="str">
        <f>IFERROR(INDEX(Universo_Activos!$D$3:$D$1022,MATCH(B63,Universo_Activos!$C$3:$C$1022,0)),"")</f>
        <v>NASDAQ:AMZN</v>
      </c>
      <c r="F63" s="10" t="str">
        <f>IFERROR(INDEX(Universo_Activos!$E$3:$E$1022,MATCH(B63,Universo_Activos!$C$3:$C$1022,0)),"")</f>
        <v>US0231351067</v>
      </c>
      <c r="G63" s="11">
        <v>76.72</v>
      </c>
      <c r="H63" s="12">
        <v>-0.0529</v>
      </c>
      <c r="I63" s="12">
        <v>0.0649</v>
      </c>
      <c r="J63" s="12">
        <v>0.0256</v>
      </c>
      <c r="K63" s="12">
        <v>-0.0093</v>
      </c>
      <c r="L63" s="12">
        <v>0.0627</v>
      </c>
      <c r="M63" s="11">
        <v>1.13972</v>
      </c>
      <c r="N63" s="11">
        <v>1.14003</v>
      </c>
      <c r="O63" s="11">
        <v>1.139576466067868</v>
      </c>
      <c r="P63" s="11">
        <v>1.139540582584835</v>
      </c>
      <c r="Q63" s="11">
        <v>1.138596475449015</v>
      </c>
      <c r="R63" s="11">
        <v>1.1384841229939164</v>
      </c>
      <c r="S63" s="11">
        <v>1.1377499368624893</v>
      </c>
      <c r="T63" s="11">
        <v>1.1376695261221828</v>
      </c>
      <c r="U63" s="11">
        <v>1.1376783575413316</v>
      </c>
      <c r="V63" s="11">
        <v>1.137650952944571</v>
      </c>
      <c r="W63" s="7">
        <f t="shared" si="18"/>
      </c>
      <c r="X63" s="7">
        <f t="shared" si="19"/>
      </c>
      <c r="Y63" s="11">
        <v>1.13972</v>
      </c>
      <c r="Z63" s="11">
        <v>1.14003</v>
      </c>
      <c r="AA63" s="11">
        <v>1.1380810317652519</v>
      </c>
      <c r="AB63" s="11">
        <v>1.1376712897065648</v>
      </c>
      <c r="AC63" s="11">
        <v>1.1376433367389955</v>
      </c>
      <c r="AD63" s="11">
        <v>1.1374356704128952</v>
      </c>
      <c r="AE63" s="11">
        <v>1.1379489876466264</v>
      </c>
      <c r="AF63" s="11">
        <v>1.1378767014281215</v>
      </c>
      <c r="AG63" s="11">
        <v>1.1393512960439711</v>
      </c>
      <c r="AH63" s="11">
        <v>1.1393463469975815</v>
      </c>
      <c r="AI63" s="7">
        <f t="shared" si="20"/>
      </c>
      <c r="AJ63" s="7">
        <f t="shared" si="21"/>
      </c>
      <c r="AK63" s="7">
        <f>IF(W63&lt;&gt;"",IFERROR(INDEX(Niveles_Importancia!$A$3:$A$30,MATCH("Vela|"&amp;$E$5&amp;"|15 min",Niveles_Importancia!$H$3:$H$30,0)),"Sin clasificar"),IF(X63&lt;&gt;"",IFERROR(INDEX(Niveles_Importancia!$A$3:$A$30,MATCH($E$5&amp;"|"&amp;$E$6&amp;"|15 min",Niveles_Importancia!$H$3:$H$30,0)),"Sin clasificar"),IF(AI63&lt;&gt;"",IFERROR(INDEX(Niveles_Importancia!$A$3:$A$30,MATCH("Vela|"&amp;$E$5&amp;"|1 hora",Niveles_Importancia!$H$3:$H$30,0)),"Sin clasificar"),IF(AJ63&lt;&gt;"",IFERROR(INDEX(Niveles_Importancia!$A$3:$A$30,MATCH($E$5&amp;"|"&amp;$E$6&amp;"|1 hora",Niveles_Importancia!$H$3:$H$30,0)),"Sin clasificar"),""))))</f>
      </c>
      <c r="AL63" s="7">
        <f t="shared" si="22"/>
      </c>
      <c r="AM63" s="7">
        <f t="shared" si="23"/>
      </c>
    </row>
    <row r="64" spans="1:39" x14ac:dyDescent="0.25">
      <c r="A64" s="7">
        <v>53</v>
      </c>
      <c r="B64" s="8" t="s">
        <v>141</v>
      </c>
      <c r="C64" s="10" t="str">
        <f>IFERROR(INDEX(Universo_Activos!$A$3:$A$1022,MATCH(B64,Universo_Activos!$C$3:$C$1022,0)),"")</f>
        <v>Acciones USA</v>
      </c>
      <c r="D64" s="10" t="str">
        <f>IFERROR(INDEX(Universo_Activos!$B$3:$B$1022,MATCH(B64,Universo_Activos!$C$3:$C$1022,0)),"")</f>
        <v>NYSE/NASDAQ</v>
      </c>
      <c r="E64" s="10" t="str">
        <f>IFERROR(INDEX(Universo_Activos!$D$3:$D$1022,MATCH(B64,Universo_Activos!$C$3:$C$1022,0)),"")</f>
        <v>NASDAQ:GOOGL</v>
      </c>
      <c r="F64" s="10" t="str">
        <f>IFERROR(INDEX(Universo_Activos!$E$3:$E$1022,MATCH(B64,Universo_Activos!$C$3:$C$1022,0)),"")</f>
        <v>US02079K3059</v>
      </c>
      <c r="G64" s="11">
        <v>79.94</v>
      </c>
      <c r="H64" s="12">
        <v>-0.0138</v>
      </c>
      <c r="I64" s="12">
        <v>0.0201</v>
      </c>
      <c r="J64" s="12">
        <v>-0.001</v>
      </c>
      <c r="K64" s="12">
        <v>-0.0295</v>
      </c>
      <c r="L64" s="12">
        <v>0.0543</v>
      </c>
      <c r="M64" s="11">
        <v>1.33017</v>
      </c>
      <c r="N64" s="11">
        <v>1.33047</v>
      </c>
      <c r="O64" s="11">
        <v>1.3303390642082802</v>
      </c>
      <c r="P64" s="11">
        <v>1.3303813302603502</v>
      </c>
      <c r="Q64" s="11">
        <v>1.3299116369990274</v>
      </c>
      <c r="R64" s="11">
        <v>1.32988580069893</v>
      </c>
      <c r="S64" s="11">
        <v>1.329581888143273</v>
      </c>
      <c r="T64" s="11">
        <v>1.3295578835776924</v>
      </c>
      <c r="U64" s="11">
        <v>1.330210190603126</v>
      </c>
      <c r="V64" s="11">
        <v>1.330210730074309</v>
      </c>
      <c r="W64" s="7" t="str">
        <f t="shared" si="18"/>
        <v>BAJISTA</v>
      </c>
      <c r="X64" s="7">
        <f t="shared" si="19"/>
      </c>
      <c r="Y64" s="11">
        <v>1.33017</v>
      </c>
      <c r="Z64" s="11">
        <v>1.3309199999999999</v>
      </c>
      <c r="AA64" s="11">
        <v>1.3296584187379816</v>
      </c>
      <c r="AB64" s="11">
        <v>1.329530523422477</v>
      </c>
      <c r="AC64" s="11">
        <v>1.3297158070519384</v>
      </c>
      <c r="AD64" s="11">
        <v>1.329670387757132</v>
      </c>
      <c r="AE64" s="11">
        <v>1.3308628345028086</v>
      </c>
      <c r="AF64" s="11">
        <v>1.3308911134621069</v>
      </c>
      <c r="AG64" s="11">
        <v>1.3345566142624254</v>
      </c>
      <c r="AH64" s="11">
        <v>1.3346154949907802</v>
      </c>
      <c r="AI64" s="7">
        <f t="shared" si="20"/>
      </c>
      <c r="AJ64" s="7">
        <f t="shared" si="21"/>
      </c>
      <c r="AK64" s="7" t="str">
        <f>IF(W64&lt;&gt;"",IFERROR(INDEX(Niveles_Importancia!$A$3:$A$30,MATCH("Vela|"&amp;$E$5&amp;"|15 min",Niveles_Importancia!$H$3:$H$30,0)),"Sin clasificar"),IF(X64&lt;&gt;"",IFERROR(INDEX(Niveles_Importancia!$A$3:$A$30,MATCH($E$5&amp;"|"&amp;$E$6&amp;"|15 min",Niveles_Importancia!$H$3:$H$30,0)),"Sin clasificar"),IF(AI64&lt;&gt;"",IFERROR(INDEX(Niveles_Importancia!$A$3:$A$30,MATCH("Vela|"&amp;$E$5&amp;"|1 hora",Niveles_Importancia!$H$3:$H$30,0)),"Sin clasificar"),IF(AJ64&lt;&gt;"",IFERROR(INDEX(Niveles_Importancia!$A$3:$A$30,MATCH($E$5&amp;"|"&amp;$E$6&amp;"|1 hora",Niveles_Importancia!$H$3:$H$30,0)),"Sin clasificar"),""))))</f>
        <v>Sin clasificar</v>
      </c>
      <c r="AL64" s="7" t="str">
        <f t="shared" si="22"/>
        <v>Cruce bajista detectado en Alphabet Class A (NYSE/NASDAQ). La vela ha cruzado EMA 9 en 15 min. Nivel: Sin clasificar. Precio: 001. 31/07/yyyy 20:15</v>
      </c>
      <c r="AM64" s="7" t="str">
        <f t="shared" si="23"/>
        <v>Alphabet Class A|15min-VelaMA1|yyyy07312015</v>
      </c>
    </row>
    <row r="65" spans="1:39" x14ac:dyDescent="0.25">
      <c r="A65" s="7">
        <v>54</v>
      </c>
      <c r="B65" s="8" t="s">
        <v>142</v>
      </c>
      <c r="C65" s="10" t="str">
        <f>IFERROR(INDEX(Universo_Activos!$A$3:$A$1022,MATCH(B65,Universo_Activos!$C$3:$C$1022,0)),"")</f>
        <v>Acciones USA</v>
      </c>
      <c r="D65" s="10" t="str">
        <f>IFERROR(INDEX(Universo_Activos!$B$3:$B$1022,MATCH(B65,Universo_Activos!$C$3:$C$1022,0)),"")</f>
        <v>NYSE/NASDAQ</v>
      </c>
      <c r="E65" s="10" t="str">
        <f>IFERROR(INDEX(Universo_Activos!$D$3:$D$1022,MATCH(B65,Universo_Activos!$C$3:$C$1022,0)),"")</f>
        <v>NASDAQ:META</v>
      </c>
      <c r="F65" s="10" t="str">
        <f>IFERROR(INDEX(Universo_Activos!$E$3:$E$1022,MATCH(B65,Universo_Activos!$C$3:$C$1022,0)),"")</f>
        <v>US30303M1027</v>
      </c>
      <c r="G65" s="11">
        <v>196.39</v>
      </c>
      <c r="H65" s="12">
        <v>0.0248</v>
      </c>
      <c r="I65" s="12">
        <v>0.0492</v>
      </c>
      <c r="J65" s="12">
        <v>0.0734</v>
      </c>
      <c r="K65" s="12">
        <v>0.0295</v>
      </c>
      <c r="L65" s="12">
        <v>-0.0481</v>
      </c>
      <c r="M65" s="11">
        <v>64350.72</v>
      </c>
      <c r="N65" s="11">
        <v>64322.01</v>
      </c>
      <c r="O65" s="11">
        <v>64110.176715052105</v>
      </c>
      <c r="P65" s="11">
        <v>64050.04089381513</v>
      </c>
      <c r="Q65" s="11">
        <v>64070.172881340935</v>
      </c>
      <c r="R65" s="11">
        <v>64040.64160569261</v>
      </c>
      <c r="S65" s="11">
        <v>64092.445889691815</v>
      </c>
      <c r="T65" s="11">
        <v>64081.90408927108</v>
      </c>
      <c r="U65" s="11">
        <v>64074.104651002024</v>
      </c>
      <c r="V65" s="11">
        <v>64070.39169329735</v>
      </c>
      <c r="W65" s="7">
        <f t="shared" si="18"/>
      </c>
      <c r="X65" s="7">
        <f t="shared" si="19"/>
      </c>
      <c r="Y65" s="11">
        <v>64350.72</v>
      </c>
      <c r="Z65" s="11">
        <v>64189.4</v>
      </c>
      <c r="AA65" s="11">
        <v>64159.84368011483</v>
      </c>
      <c r="AB65" s="11">
        <v>64112.124600143536</v>
      </c>
      <c r="AC65" s="11">
        <v>64101.96952934672</v>
      </c>
      <c r="AD65" s="11">
        <v>64075.785269277956</v>
      </c>
      <c r="AE65" s="11">
        <v>64084.196062164505</v>
      </c>
      <c r="AF65" s="11">
        <v>64073.31753408958</v>
      </c>
      <c r="AG65" s="11">
        <v>64333.88963898166</v>
      </c>
      <c r="AH65" s="11">
        <v>64333.663728095504</v>
      </c>
      <c r="AI65" s="7">
        <f t="shared" si="20"/>
      </c>
      <c r="AJ65" s="7">
        <f t="shared" si="21"/>
      </c>
      <c r="AK65" s="7">
        <f>IF(W65&lt;&gt;"",IFERROR(INDEX(Niveles_Importancia!$A$3:$A$30,MATCH("Vela|"&amp;$E$5&amp;"|15 min",Niveles_Importancia!$H$3:$H$30,0)),"Sin clasificar"),IF(X65&lt;&gt;"",IFERROR(INDEX(Niveles_Importancia!$A$3:$A$30,MATCH($E$5&amp;"|"&amp;$E$6&amp;"|15 min",Niveles_Importancia!$H$3:$H$30,0)),"Sin clasificar"),IF(AI65&lt;&gt;"",IFERROR(INDEX(Niveles_Importancia!$A$3:$A$30,MATCH("Vela|"&amp;$E$5&amp;"|1 hora",Niveles_Importancia!$H$3:$H$30,0)),"Sin clasificar"),IF(AJ65&lt;&gt;"",IFERROR(INDEX(Niveles_Importancia!$A$3:$A$30,MATCH($E$5&amp;"|"&amp;$E$6&amp;"|1 hora",Niveles_Importancia!$H$3:$H$30,0)),"Sin clasificar"),""))))</f>
      </c>
      <c r="AL65" s="7">
        <f t="shared" si="22"/>
      </c>
      <c r="AM65" s="7">
        <f t="shared" si="23"/>
      </c>
    </row>
    <row r="66" spans="1:39" x14ac:dyDescent="0.25">
      <c r="A66" s="7">
        <v>55</v>
      </c>
      <c r="B66" s="8" t="s">
        <v>143</v>
      </c>
      <c r="C66" s="10" t="str">
        <f>IFERROR(INDEX(Universo_Activos!$A$3:$A$1022,MATCH(B66,Universo_Activos!$C$3:$C$1022,0)),"")</f>
        <v>Acciones USA</v>
      </c>
      <c r="D66" s="10" t="str">
        <f>IFERROR(INDEX(Universo_Activos!$B$3:$B$1022,MATCH(B66,Universo_Activos!$C$3:$C$1022,0)),"")</f>
        <v>NYSE/NASDAQ</v>
      </c>
      <c r="E66" s="10" t="str">
        <f>IFERROR(INDEX(Universo_Activos!$D$3:$D$1022,MATCH(B66,Universo_Activos!$C$3:$C$1022,0)),"")</f>
        <v>NASDAQ:BRK.B</v>
      </c>
      <c r="F66" s="10" t="str">
        <f>IFERROR(INDEX(Universo_Activos!$E$3:$E$1022,MATCH(B66,Universo_Activos!$C$3:$C$1022,0)),"")</f>
        <v>US0846707026</v>
      </c>
      <c r="G66" s="11">
        <v>195.15</v>
      </c>
      <c r="H66" s="12">
        <v>0.0656</v>
      </c>
      <c r="I66" s="12">
        <v>-0.0197</v>
      </c>
      <c r="J66" s="12">
        <v>0.011</v>
      </c>
      <c r="K66" s="12">
        <v>0.0607</v>
      </c>
      <c r="L66" s="12">
        <v>0.0475</v>
      </c>
      <c r="M66" s="11">
        <v>1919.4</v>
      </c>
      <c r="N66" s="11">
        <v>1918</v>
      </c>
      <c r="O66" s="11">
        <v>1908.3405888033858</v>
      </c>
      <c r="P66" s="11">
        <v>1905.575736004232</v>
      </c>
      <c r="Q66" s="11">
        <v>1903.8041213564034</v>
      </c>
      <c r="R66" s="11">
        <v>1902.1624499202353</v>
      </c>
      <c r="S66" s="11">
        <v>1904.422135449809</v>
      </c>
      <c r="T66" s="11">
        <v>1903.810794039597</v>
      </c>
      <c r="U66" s="11">
        <v>1907.9678237883966</v>
      </c>
      <c r="V66" s="11">
        <v>1907.8143717587106</v>
      </c>
      <c r="W66" s="7">
        <f t="shared" si="18"/>
      </c>
      <c r="X66" s="7">
        <f t="shared" si="19"/>
      </c>
      <c r="Y66" s="11">
        <v>1919.4</v>
      </c>
      <c r="Z66" s="11">
        <v>1913.63</v>
      </c>
      <c r="AA66" s="11">
        <v>1906.7472825748293</v>
      </c>
      <c r="AB66" s="11">
        <v>1903.5841032185367</v>
      </c>
      <c r="AC66" s="11">
        <v>1906.772482412272</v>
      </c>
      <c r="AD66" s="11">
        <v>1905.4432700346165</v>
      </c>
      <c r="AE66" s="11">
        <v>1907.037041452911</v>
      </c>
      <c r="AF66" s="11">
        <v>1906.5324308999684</v>
      </c>
      <c r="AG66" s="11">
        <v>1900.2126729832498</v>
      </c>
      <c r="AH66" s="11">
        <v>1899.9551249696021</v>
      </c>
      <c r="AI66" s="7">
        <f t="shared" si="20"/>
      </c>
      <c r="AJ66" s="7">
        <f t="shared" si="21"/>
      </c>
      <c r="AK66" s="7">
        <f>IF(W66&lt;&gt;"",IFERROR(INDEX(Niveles_Importancia!$A$3:$A$30,MATCH("Vela|"&amp;$E$5&amp;"|15 min",Niveles_Importancia!$H$3:$H$30,0)),"Sin clasificar"),IF(X66&lt;&gt;"",IFERROR(INDEX(Niveles_Importancia!$A$3:$A$30,MATCH($E$5&amp;"|"&amp;$E$6&amp;"|15 min",Niveles_Importancia!$H$3:$H$30,0)),"Sin clasificar"),IF(AI66&lt;&gt;"",IFERROR(INDEX(Niveles_Importancia!$A$3:$A$30,MATCH("Vela|"&amp;$E$5&amp;"|1 hora",Niveles_Importancia!$H$3:$H$30,0)),"Sin clasificar"),IF(AJ66&lt;&gt;"",IFERROR(INDEX(Niveles_Importancia!$A$3:$A$30,MATCH($E$5&amp;"|"&amp;$E$6&amp;"|1 hora",Niveles_Importancia!$H$3:$H$30,0)),"Sin clasificar"),""))))</f>
      </c>
      <c r="AL66" s="7">
        <f t="shared" si="22"/>
      </c>
      <c r="AM66" s="7">
        <f t="shared" si="23"/>
      </c>
    </row>
    <row r="67" spans="1:39" x14ac:dyDescent="0.25">
      <c r="A67" s="7">
        <v>56</v>
      </c>
      <c r="B67" s="8" t="s">
        <v>144</v>
      </c>
      <c r="C67" s="10" t="str">
        <f>IFERROR(INDEX(Universo_Activos!$A$3:$A$1022,MATCH(B67,Universo_Activos!$C$3:$C$1022,0)),"")</f>
        <v>Acciones USA</v>
      </c>
      <c r="D67" s="10" t="str">
        <f>IFERROR(INDEX(Universo_Activos!$B$3:$B$1022,MATCH(B67,Universo_Activos!$C$3:$C$1022,0)),"")</f>
        <v>NYSE/NASDAQ</v>
      </c>
      <c r="E67" s="10" t="str">
        <f>IFERROR(INDEX(Universo_Activos!$D$3:$D$1022,MATCH(B67,Universo_Activos!$C$3:$C$1022,0)),"")</f>
        <v>NASDAQ:AVGO</v>
      </c>
      <c r="F67" s="10" t="str">
        <f>IFERROR(INDEX(Universo_Activos!$E$3:$E$1022,MATCH(B67,Universo_Activos!$C$3:$C$1022,0)),"")</f>
        <v>US11135F1012</v>
      </c>
      <c r="G67" s="11">
        <v>174.08</v>
      </c>
      <c r="H67" s="12">
        <v>0.0429</v>
      </c>
      <c r="I67" s="12">
        <v>-0.002</v>
      </c>
      <c r="J67" s="12">
        <v>-0.0755</v>
      </c>
      <c r="K67" s="12">
        <v>0.0495</v>
      </c>
      <c r="L67" s="12">
        <v>-0.0698</v>
      </c>
      <c r="M67" s="11">
        <v>741.35</v>
      </c>
      <c r="N67" s="11">
        <v>740.74</v>
      </c>
      <c r="O67" s="11">
        <v>737.8982810719934</v>
      </c>
      <c r="P67" s="11">
        <v>737.0353513399918</v>
      </c>
      <c r="Q67" s="11">
        <v>737.1216842494059</v>
      </c>
      <c r="R67" s="11">
        <v>736.6765983809223</v>
      </c>
      <c r="S67" s="11">
        <v>737.7850999480327</v>
      </c>
      <c r="T67" s="11">
        <v>737.6395938234625</v>
      </c>
      <c r="U67" s="11">
        <v>740.3422432807315</v>
      </c>
      <c r="V67" s="11">
        <v>740.3287163449024</v>
      </c>
      <c r="W67" s="7">
        <f t="shared" si="18"/>
      </c>
      <c r="X67" s="7">
        <f t="shared" si="19"/>
      </c>
      <c r="Y67" s="11">
        <v>741.35</v>
      </c>
      <c r="Z67" s="11">
        <v>737.34</v>
      </c>
      <c r="AA67" s="11">
        <v>737.9952301266765</v>
      </c>
      <c r="AB67" s="11">
        <v>737.1565376583455</v>
      </c>
      <c r="AC67" s="11">
        <v>738.6699000939569</v>
      </c>
      <c r="AD67" s="11">
        <v>738.3877843143734</v>
      </c>
      <c r="AE67" s="11">
        <v>741.0991958329633</v>
      </c>
      <c r="AF67" s="11">
        <v>741.0889589281863</v>
      </c>
      <c r="AG67" s="11">
        <v>744.5144985751518</v>
      </c>
      <c r="AH67" s="11">
        <v>744.5569750660935</v>
      </c>
      <c r="AI67" s="7">
        <f t="shared" si="20"/>
      </c>
      <c r="AJ67" s="7">
        <f t="shared" si="21"/>
      </c>
      <c r="AK67" s="7">
        <f>IF(W67&lt;&gt;"",IFERROR(INDEX(Niveles_Importancia!$A$3:$A$30,MATCH("Vela|"&amp;$E$5&amp;"|15 min",Niveles_Importancia!$H$3:$H$30,0)),"Sin clasificar"),IF(X67&lt;&gt;"",IFERROR(INDEX(Niveles_Importancia!$A$3:$A$30,MATCH($E$5&amp;"|"&amp;$E$6&amp;"|15 min",Niveles_Importancia!$H$3:$H$30,0)),"Sin clasificar"),IF(AI67&lt;&gt;"",IFERROR(INDEX(Niveles_Importancia!$A$3:$A$30,MATCH("Vela|"&amp;$E$5&amp;"|1 hora",Niveles_Importancia!$H$3:$H$30,0)),"Sin clasificar"),IF(AJ67&lt;&gt;"",IFERROR(INDEX(Niveles_Importancia!$A$3:$A$30,MATCH($E$5&amp;"|"&amp;$E$6&amp;"|1 hora",Niveles_Importancia!$H$3:$H$30,0)),"Sin clasificar"),""))))</f>
      </c>
      <c r="AL67" s="7">
        <f t="shared" si="22"/>
      </c>
      <c r="AM67" s="7">
        <f t="shared" si="23"/>
      </c>
    </row>
    <row r="68" spans="1:39" x14ac:dyDescent="0.25">
      <c r="A68" s="7">
        <v>57</v>
      </c>
      <c r="B68" s="8" t="s">
        <v>145</v>
      </c>
      <c r="C68" s="10" t="str">
        <f>IFERROR(INDEX(Universo_Activos!$A$3:$A$1022,MATCH(B68,Universo_Activos!$C$3:$C$1022,0)),"")</f>
        <v>Acciones USA</v>
      </c>
      <c r="D68" s="10" t="str">
        <f>IFERROR(INDEX(Universo_Activos!$B$3:$B$1022,MATCH(B68,Universo_Activos!$C$3:$C$1022,0)),"")</f>
        <v>NYSE/NASDAQ</v>
      </c>
      <c r="E68" s="10" t="str">
        <f>IFERROR(INDEX(Universo_Activos!$D$3:$D$1022,MATCH(B68,Universo_Activos!$C$3:$C$1022,0)),"")</f>
        <v>NASDAQ:TSLA</v>
      </c>
      <c r="F68" s="10" t="str">
        <f>IFERROR(INDEX(Universo_Activos!$E$3:$E$1022,MATCH(B68,Universo_Activos!$C$3:$C$1022,0)),"")</f>
        <v>US88160R1014</v>
      </c>
      <c r="G68" s="11">
        <v>256.21</v>
      </c>
      <c r="H68" s="12">
        <v>0.0096</v>
      </c>
      <c r="I68" s="12">
        <v>-0.0301</v>
      </c>
      <c r="J68" s="12">
        <v>-0.019</v>
      </c>
      <c r="K68" s="12">
        <v>0.0552</v>
      </c>
      <c r="L68" s="12">
        <v>0.0641</v>
      </c>
      <c r="M68" s="11">
        <v>4064.3</v>
      </c>
      <c r="N68" s="11">
        <v>4064.1</v>
      </c>
      <c r="O68" s="11">
        <v>4048.1800533557953</v>
      </c>
      <c r="P68" s="11">
        <v>4044.150066694744</v>
      </c>
      <c r="Q68" s="11">
        <v>4034.4843155862477</v>
      </c>
      <c r="R68" s="11">
        <v>4031.3458224900633</v>
      </c>
      <c r="S68" s="11">
        <v>4028.2267063881523</v>
      </c>
      <c r="T68" s="11">
        <v>4026.7543270570563</v>
      </c>
      <c r="U68" s="11">
        <v>4035.212857466909</v>
      </c>
      <c r="V68" s="11">
        <v>4034.822426023512</v>
      </c>
      <c r="W68" s="7">
        <f t="shared" si="18"/>
      </c>
      <c r="X68" s="7">
        <f t="shared" si="19"/>
      </c>
      <c r="Y68" s="11">
        <v>4064.3</v>
      </c>
      <c r="Z68" s="11">
        <v>4041</v>
      </c>
      <c r="AA68" s="11">
        <v>4031.664940719321</v>
      </c>
      <c r="AB68" s="11">
        <v>4023.506175899151</v>
      </c>
      <c r="AC68" s="11">
        <v>4029.742348145646</v>
      </c>
      <c r="AD68" s="11">
        <v>4026.1047005820296</v>
      </c>
      <c r="AE68" s="11">
        <v>4039.1587375344293</v>
      </c>
      <c r="AF68" s="11">
        <v>4038.1325635562425</v>
      </c>
      <c r="AG68" s="11">
        <v>4054.6702462693756</v>
      </c>
      <c r="AH68" s="11">
        <v>4054.5409878300384</v>
      </c>
      <c r="AI68" s="7">
        <f t="shared" si="20"/>
      </c>
      <c r="AJ68" s="7" t="str">
        <f t="shared" si="21"/>
        <v>ALCISTA</v>
      </c>
      <c r="AK68" s="7">
        <f>IF(W68&lt;&gt;"",IFERROR(INDEX(Niveles_Importancia!$A$3:$A$30,MATCH("Vela|"&amp;$E$5&amp;"|15 min",Niveles_Importancia!$H$3:$H$30,0)),"Sin clasificar"),IF(X68&lt;&gt;"",IFERROR(INDEX(Niveles_Importancia!$A$3:$A$30,MATCH($E$5&amp;"|"&amp;$E$6&amp;"|15 min",Niveles_Importancia!$H$3:$H$30,0)),"Sin clasificar"),IF(AI68&lt;&gt;"",IFERROR(INDEX(Niveles_Importancia!$A$3:$A$30,MATCH("Vela|"&amp;$E$5&amp;"|1 hora",Niveles_Importancia!$H$3:$H$30,0)),"Sin clasificar"),IF(AJ68&lt;&gt;"",IFERROR(INDEX(Niveles_Importancia!$A$3:$A$30,MATCH($E$5&amp;"|"&amp;$E$6&amp;"|1 hora",Niveles_Importancia!$H$3:$H$30,0)),"Sin clasificar"),""))))</f>
        <v>1</v>
      </c>
      <c r="AL68" s="7" t="str">
        <f t="shared" si="22"/>
        <v>Cruce alcista detectado en Tesla (NYSE/NASDAQ). EMA 9 ha cruzado EMA 20 en 1 hora. Nivel: 1. 31/07/yyyy 20:15</v>
      </c>
      <c r="AM68" s="7" t="str">
        <f t="shared" si="23"/>
        <v>Tesla|1h-MA1MA2|yyyy07312015</v>
      </c>
    </row>
    <row r="69" spans="1:39" x14ac:dyDescent="0.25">
      <c r="A69" s="7">
        <v>58</v>
      </c>
      <c r="B69" s="8" t="s">
        <v>146</v>
      </c>
      <c r="C69" s="10" t="str">
        <f>IFERROR(INDEX(Universo_Activos!$A$3:$A$1022,MATCH(B69,Universo_Activos!$C$3:$C$1022,0)),"")</f>
        <v>Acciones USA</v>
      </c>
      <c r="D69" s="10" t="str">
        <f>IFERROR(INDEX(Universo_Activos!$B$3:$B$1022,MATCH(B69,Universo_Activos!$C$3:$C$1022,0)),"")</f>
        <v>NYSE/NASDAQ</v>
      </c>
      <c r="E69" s="10" t="str">
        <f>IFERROR(INDEX(Universo_Activos!$D$3:$D$1022,MATCH(B69,Universo_Activos!$C$3:$C$1022,0)),"")</f>
        <v>NASDAQ:XOM</v>
      </c>
      <c r="F69" s="10" t="str">
        <f>IFERROR(INDEX(Universo_Activos!$E$3:$E$1022,MATCH(B69,Universo_Activos!$C$3:$C$1022,0)),"")</f>
        <v>US30231G1022</v>
      </c>
      <c r="G69" s="11">
        <v>256.21</v>
      </c>
      <c r="H69" s="12">
        <v>0.0096</v>
      </c>
      <c r="I69" s="12">
        <v>-0.0301</v>
      </c>
      <c r="J69" s="12">
        <v>-0.019</v>
      </c>
      <c r="K69" s="12">
        <v>0.0552</v>
      </c>
      <c r="L69" s="12">
        <v>0.0641</v>
      </c>
      <c r="M69" s="11">
        <v>4064.3</v>
      </c>
      <c r="N69" s="11">
        <v>4064.1</v>
      </c>
      <c r="O69" s="11">
        <v>4048.1800533557953</v>
      </c>
      <c r="P69" s="11">
        <v>4044.150066694744</v>
      </c>
      <c r="Q69" s="11">
        <v>4034.4843155862477</v>
      </c>
      <c r="R69" s="11">
        <v>4031.3458224900633</v>
      </c>
      <c r="S69" s="11">
        <v>4028.2267063881523</v>
      </c>
      <c r="T69" s="11">
        <v>4026.7543270570563</v>
      </c>
      <c r="U69" s="11">
        <v>4035.212857466909</v>
      </c>
      <c r="V69" s="11">
        <v>4034.822426023512</v>
      </c>
      <c r="W69" s="7">
        <f t="shared" si="18"/>
      </c>
      <c r="X69" s="7">
        <f t="shared" si="19"/>
      </c>
      <c r="Y69" s="11">
        <v>4064.3</v>
      </c>
      <c r="Z69" s="11">
        <v>4041</v>
      </c>
      <c r="AA69" s="11">
        <v>4031.664940719321</v>
      </c>
      <c r="AB69" s="11">
        <v>4023.506175899151</v>
      </c>
      <c r="AC69" s="11">
        <v>4029.742348145646</v>
      </c>
      <c r="AD69" s="11">
        <v>4026.1047005820296</v>
      </c>
      <c r="AE69" s="11">
        <v>4039.1587375344293</v>
      </c>
      <c r="AF69" s="11">
        <v>4038.1325635562425</v>
      </c>
      <c r="AG69" s="11">
        <v>4054.6702462693756</v>
      </c>
      <c r="AH69" s="11">
        <v>4054.5409878300384</v>
      </c>
      <c r="AI69" s="7">
        <f t="shared" si="20"/>
      </c>
      <c r="AJ69" s="7" t="str">
        <f t="shared" si="21"/>
        <v>ALCISTA</v>
      </c>
      <c r="AK69" s="7">
        <f>IF(W69&lt;&gt;"",IFERROR(INDEX(Niveles_Importancia!$A$3:$A$30,MATCH("Vela|"&amp;$E$5&amp;"|15 min",Niveles_Importancia!$H$3:$H$30,0)),"Sin clasificar"),IF(X69&lt;&gt;"",IFERROR(INDEX(Niveles_Importancia!$A$3:$A$30,MATCH($E$5&amp;"|"&amp;$E$6&amp;"|15 min",Niveles_Importancia!$H$3:$H$30,0)),"Sin clasificar"),IF(AI69&lt;&gt;"",IFERROR(INDEX(Niveles_Importancia!$A$3:$A$30,MATCH("Vela|"&amp;$E$5&amp;"|1 hora",Niveles_Importancia!$H$3:$H$30,0)),"Sin clasificar"),IF(AJ69&lt;&gt;"",IFERROR(INDEX(Niveles_Importancia!$A$3:$A$30,MATCH($E$5&amp;"|"&amp;$E$6&amp;"|1 hora",Niveles_Importancia!$H$3:$H$30,0)),"Sin clasificar"),""))))</f>
        <v>1</v>
      </c>
      <c r="AL69" s="7" t="str">
        <f t="shared" si="22"/>
        <v>Cruce alcista detectado en Exxon Mobil (NYSE/NASDAQ). EMA 9 ha cruzado EMA 20 en 1 hora. Nivel: 1. 31/07/yyyy 20:15</v>
      </c>
      <c r="AM69" s="7" t="str">
        <f t="shared" si="23"/>
        <v>Exxon Mobil|1h-MA1MA2|yyyy07312015</v>
      </c>
    </row>
    <row r="70" spans="1:39" x14ac:dyDescent="0.25">
      <c r="A70" s="7">
        <v>59</v>
      </c>
      <c r="B70" s="8" t="s">
        <v>147</v>
      </c>
      <c r="C70" s="10" t="str">
        <f>IFERROR(INDEX(Universo_Activos!$A$3:$A$1022,MATCH(B70,Universo_Activos!$C$3:$C$1022,0)),"")</f>
        <v>Acciones USA</v>
      </c>
      <c r="D70" s="10" t="str">
        <f>IFERROR(INDEX(Universo_Activos!$B$3:$B$1022,MATCH(B70,Universo_Activos!$C$3:$C$1022,0)),"")</f>
        <v>NYSE/NASDAQ</v>
      </c>
      <c r="E70" s="10" t="str">
        <f>IFERROR(INDEX(Universo_Activos!$D$3:$D$1022,MATCH(B70,Universo_Activos!$C$3:$C$1022,0)),"")</f>
        <v>NASDAQ:UNH</v>
      </c>
      <c r="F70" s="10" t="str">
        <f>IFERROR(INDEX(Universo_Activos!$E$3:$E$1022,MATCH(B70,Universo_Activos!$C$3:$C$1022,0)),"")</f>
        <v>US91324P1021</v>
      </c>
      <c r="G70" s="11">
        <v>146.67</v>
      </c>
      <c r="H70" s="12">
        <v>0.0096</v>
      </c>
      <c r="I70" s="12">
        <v>0.0679</v>
      </c>
      <c r="J70" s="12">
        <v>-0.0055</v>
      </c>
      <c r="K70" s="12">
        <v>0.0013</v>
      </c>
      <c r="L70" s="12">
        <v>0.014</v>
      </c>
      <c r="M70" s="11">
        <v>56.46</v>
      </c>
      <c r="N70" s="11">
        <v>56.18</v>
      </c>
      <c r="O70" s="11">
        <v>56.16140087413097</v>
      </c>
      <c r="P70" s="11">
        <v>56.08675109266371</v>
      </c>
      <c r="Q70" s="11">
        <v>56.056456538061624</v>
      </c>
      <c r="R70" s="11">
        <v>56.013978278910216</v>
      </c>
      <c r="S70" s="11">
        <v>56.00697452281864</v>
      </c>
      <c r="T70" s="11">
        <v>55.98848368701532</v>
      </c>
      <c r="U70" s="11">
        <v>55.55353203362553</v>
      </c>
      <c r="V70" s="11">
        <v>55.54136467837218</v>
      </c>
      <c r="W70" s="7">
        <f t="shared" si="18"/>
      </c>
      <c r="X70" s="7">
        <f t="shared" si="19"/>
      </c>
      <c r="Y70" s="11">
        <v>56.46</v>
      </c>
      <c r="Z70" s="11">
        <v>56.02</v>
      </c>
      <c r="AA70" s="11">
        <v>56.09682643901197</v>
      </c>
      <c r="AB70" s="11">
        <v>56.00603304876496</v>
      </c>
      <c r="AC70" s="11">
        <v>55.95711429721635</v>
      </c>
      <c r="AD70" s="11">
        <v>55.90417896008123</v>
      </c>
      <c r="AE70" s="11">
        <v>55.41281726710895</v>
      </c>
      <c r="AF70" s="11">
        <v>55.37007511474605</v>
      </c>
      <c r="AG70" s="11">
        <v>54.98329045590584</v>
      </c>
      <c r="AH70" s="11">
        <v>54.963468851287125</v>
      </c>
      <c r="AI70" s="7">
        <f t="shared" si="20"/>
      </c>
      <c r="AJ70" s="7">
        <f t="shared" si="21"/>
      </c>
      <c r="AK70" s="7">
        <f>IF(W70&lt;&gt;"",IFERROR(INDEX(Niveles_Importancia!$A$3:$A$30,MATCH("Vela|"&amp;$E$5&amp;"|15 min",Niveles_Importancia!$H$3:$H$30,0)),"Sin clasificar"),IF(X70&lt;&gt;"",IFERROR(INDEX(Niveles_Importancia!$A$3:$A$30,MATCH($E$5&amp;"|"&amp;$E$6&amp;"|15 min",Niveles_Importancia!$H$3:$H$30,0)),"Sin clasificar"),IF(AI70&lt;&gt;"",IFERROR(INDEX(Niveles_Importancia!$A$3:$A$30,MATCH("Vela|"&amp;$E$5&amp;"|1 hora",Niveles_Importancia!$H$3:$H$30,0)),"Sin clasificar"),IF(AJ70&lt;&gt;"",IFERROR(INDEX(Niveles_Importancia!$A$3:$A$30,MATCH($E$5&amp;"|"&amp;$E$6&amp;"|1 hora",Niveles_Importancia!$H$3:$H$30,0)),"Sin clasificar"),""))))</f>
      </c>
      <c r="AL70" s="7">
        <f t="shared" si="22"/>
      </c>
      <c r="AM70" s="7">
        <f t="shared" si="23"/>
      </c>
    </row>
    <row r="71" spans="1:39" x14ac:dyDescent="0.25">
      <c r="A71" s="7">
        <v>60</v>
      </c>
      <c r="B71" s="8" t="s">
        <v>148</v>
      </c>
      <c r="C71" s="10" t="str">
        <f>IFERROR(INDEX(Universo_Activos!$A$3:$A$1022,MATCH(B71,Universo_Activos!$C$3:$C$1022,0)),"")</f>
        <v>Acciones USA</v>
      </c>
      <c r="D71" s="10" t="str">
        <f>IFERROR(INDEX(Universo_Activos!$B$3:$B$1022,MATCH(B71,Universo_Activos!$C$3:$C$1022,0)),"")</f>
        <v>NYSE/NASDAQ</v>
      </c>
      <c r="E71" s="10" t="str">
        <f>IFERROR(INDEX(Universo_Activos!$D$3:$D$1022,MATCH(B71,Universo_Activos!$C$3:$C$1022,0)),"")</f>
        <v>NASDAQ:NFLX</v>
      </c>
      <c r="F71" s="10" t="str">
        <f>IFERROR(INDEX(Universo_Activos!$E$3:$E$1022,MATCH(B71,Universo_Activos!$C$3:$C$1022,0)),"")</f>
        <v>US64110L1061</v>
      </c>
      <c r="G71" s="11">
        <v>28.42</v>
      </c>
      <c r="H71" s="12">
        <v>-0.0058</v>
      </c>
      <c r="I71" s="12">
        <v>-0.0095</v>
      </c>
      <c r="J71" s="12">
        <v>0.0548</v>
      </c>
      <c r="K71" s="12">
        <v>0.0031</v>
      </c>
      <c r="L71" s="12">
        <v>0.0224</v>
      </c>
      <c r="M71" s="11">
        <v>20.61</v>
      </c>
      <c r="N71" s="11">
        <v>20.65</v>
      </c>
      <c r="O71" s="11">
        <v>20.717646491294744</v>
      </c>
      <c r="P71" s="11">
        <v>20.74455811411843</v>
      </c>
      <c r="Q71" s="11">
        <v>20.786213502448867</v>
      </c>
      <c r="R71" s="11">
        <v>20.804762292180328</v>
      </c>
      <c r="S71" s="11">
        <v>20.899640921051756</v>
      </c>
      <c r="T71" s="11">
        <v>20.91146299946203</v>
      </c>
      <c r="U71" s="11">
        <v>21.071022917009042</v>
      </c>
      <c r="V71" s="11">
        <v>21.077211144082987</v>
      </c>
      <c r="W71" s="7">
        <f t="shared" si="18"/>
      </c>
      <c r="X71" s="7">
        <f t="shared" si="19"/>
      </c>
      <c r="Y71" s="11">
        <v>20.61</v>
      </c>
      <c r="Z71" s="11">
        <v>20.67</v>
      </c>
      <c r="AA71" s="11">
        <v>20.81138726116584</v>
      </c>
      <c r="AB71" s="11">
        <v>20.861734076457303</v>
      </c>
      <c r="AC71" s="11">
        <v>20.943990701180706</v>
      </c>
      <c r="AD71" s="11">
        <v>20.979147617094466</v>
      </c>
      <c r="AE71" s="11">
        <v>21.076157742600703</v>
      </c>
      <c r="AF71" s="11">
        <v>21.095184589237466</v>
      </c>
      <c r="AG71" s="11">
        <v>21.130187906290544</v>
      </c>
      <c r="AH71" s="11">
        <v>21.137170294294442</v>
      </c>
      <c r="AI71" s="7">
        <f t="shared" si="20"/>
      </c>
      <c r="AJ71" s="7">
        <f t="shared" si="21"/>
      </c>
      <c r="AK71" s="7">
        <f>IF(W71&lt;&gt;"",IFERROR(INDEX(Niveles_Importancia!$A$3:$A$30,MATCH("Vela|"&amp;$E$5&amp;"|15 min",Niveles_Importancia!$H$3:$H$30,0)),"Sin clasificar"),IF(X71&lt;&gt;"",IFERROR(INDEX(Niveles_Importancia!$A$3:$A$30,MATCH($E$5&amp;"|"&amp;$E$6&amp;"|15 min",Niveles_Importancia!$H$3:$H$30,0)),"Sin clasificar"),IF(AI71&lt;&gt;"",IFERROR(INDEX(Niveles_Importancia!$A$3:$A$30,MATCH("Vela|"&amp;$E$5&amp;"|1 hora",Niveles_Importancia!$H$3:$H$30,0)),"Sin clasificar"),IF(AJ71&lt;&gt;"",IFERROR(INDEX(Niveles_Importancia!$A$3:$A$30,MATCH($E$5&amp;"|"&amp;$E$6&amp;"|1 hora",Niveles_Importancia!$H$3:$H$30,0)),"Sin clasificar"),""))))</f>
      </c>
      <c r="AL71" s="7">
        <f t="shared" si="22"/>
      </c>
      <c r="AM71" s="7">
        <f t="shared" si="23"/>
      </c>
    </row>
    <row r="72" spans="1:39" x14ac:dyDescent="0.25">
      <c r="A72" s="7">
        <v>61</v>
      </c>
      <c r="B72" s="8" t="s">
        <v>149</v>
      </c>
      <c r="C72" s="10" t="str">
        <f>IFERROR(INDEX(Universo_Activos!$A$3:$A$1022,MATCH(B72,Universo_Activos!$C$3:$C$1022,0)),"")</f>
        <v>Acciones USA</v>
      </c>
      <c r="D72" s="10" t="str">
        <f>IFERROR(INDEX(Universo_Activos!$B$3:$B$1022,MATCH(B72,Universo_Activos!$C$3:$C$1022,0)),"")</f>
        <v>NYSE/NASDAQ</v>
      </c>
      <c r="E72" s="10" t="str">
        <f>IFERROR(INDEX(Universo_Activos!$D$3:$D$1022,MATCH(B72,Universo_Activos!$C$3:$C$1022,0)),"")</f>
        <v>NASDAQ:JNJ</v>
      </c>
      <c r="F72" s="10" t="str">
        <f>IFERROR(INDEX(Universo_Activos!$E$3:$E$1022,MATCH(B72,Universo_Activos!$C$3:$C$1022,0)),"")</f>
        <v>US4781601046</v>
      </c>
      <c r="G72" s="11">
        <v>274.88</v>
      </c>
      <c r="H72" s="12">
        <v>-0.0048</v>
      </c>
      <c r="I72" s="12">
        <v>0.0769</v>
      </c>
      <c r="J72" s="12">
        <v>-0.0164</v>
      </c>
      <c r="K72" s="12">
        <v>-0.0683</v>
      </c>
      <c r="L72" s="12">
        <v>0.0207</v>
      </c>
      <c r="M72" s="11">
        <v>11.952</v>
      </c>
      <c r="N72" s="11">
        <v>11.934</v>
      </c>
      <c r="O72" s="11">
        <v>11.973288757524612</v>
      </c>
      <c r="P72" s="11">
        <v>11.978610946905764</v>
      </c>
      <c r="Q72" s="11">
        <v>11.998768446436754</v>
      </c>
      <c r="R72" s="11">
        <v>12.003691440798518</v>
      </c>
      <c r="S72" s="11">
        <v>12.059887722129899</v>
      </c>
      <c r="T72" s="11">
        <v>12.064291302624996</v>
      </c>
      <c r="U72" s="11">
        <v>12.072704963490407</v>
      </c>
      <c r="V72" s="11">
        <v>12.074325164342628</v>
      </c>
      <c r="W72" s="7">
        <f t="shared" si="18"/>
      </c>
      <c r="X72" s="7">
        <f t="shared" si="19"/>
      </c>
      <c r="Y72" s="11">
        <v>11.952</v>
      </c>
      <c r="Z72" s="11">
        <v>11.972</v>
      </c>
      <c r="AA72" s="11">
        <v>12.030948320273424</v>
      </c>
      <c r="AB72" s="11">
        <v>12.05068540034178</v>
      </c>
      <c r="AC72" s="11">
        <v>12.084820868085833</v>
      </c>
      <c r="AD72" s="11">
        <v>12.098802012094868</v>
      </c>
      <c r="AE72" s="11">
        <v>12.06435682198969</v>
      </c>
      <c r="AF72" s="11">
        <v>12.068942814723965</v>
      </c>
      <c r="AG72" s="11">
        <v>12.003302797184261</v>
      </c>
      <c r="AH72" s="11">
        <v>12.003991425334386</v>
      </c>
      <c r="AI72" s="7">
        <f t="shared" si="20"/>
      </c>
      <c r="AJ72" s="7">
        <f t="shared" si="21"/>
      </c>
      <c r="AK72" s="7">
        <f>IF(W72&lt;&gt;"",IFERROR(INDEX(Niveles_Importancia!$A$3:$A$30,MATCH("Vela|"&amp;$E$5&amp;"|15 min",Niveles_Importancia!$H$3:$H$30,0)),"Sin clasificar"),IF(X72&lt;&gt;"",IFERROR(INDEX(Niveles_Importancia!$A$3:$A$30,MATCH($E$5&amp;"|"&amp;$E$6&amp;"|15 min",Niveles_Importancia!$H$3:$H$30,0)),"Sin clasificar"),IF(AI72&lt;&gt;"",IFERROR(INDEX(Niveles_Importancia!$A$3:$A$30,MATCH("Vela|"&amp;$E$5&amp;"|1 hora",Niveles_Importancia!$H$3:$H$30,0)),"Sin clasificar"),IF(AJ72&lt;&gt;"",IFERROR(INDEX(Niveles_Importancia!$A$3:$A$30,MATCH($E$5&amp;"|"&amp;$E$6&amp;"|1 hora",Niveles_Importancia!$H$3:$H$30,0)),"Sin clasificar"),""))))</f>
      </c>
      <c r="AL72" s="7">
        <f t="shared" si="22"/>
      </c>
      <c r="AM72" s="7">
        <f t="shared" si="23"/>
      </c>
    </row>
    <row r="73" spans="1:39" x14ac:dyDescent="0.25">
      <c r="A73" s="7">
        <v>62</v>
      </c>
      <c r="B73" s="8" t="s">
        <v>150</v>
      </c>
      <c r="C73" s="10" t="str">
        <f>IFERROR(INDEX(Universo_Activos!$A$3:$A$1022,MATCH(B73,Universo_Activos!$C$3:$C$1022,0)),"")</f>
        <v>Acciones USA</v>
      </c>
      <c r="D73" s="10" t="str">
        <f>IFERROR(INDEX(Universo_Activos!$B$3:$B$1022,MATCH(B73,Universo_Activos!$C$3:$C$1022,0)),"")</f>
        <v>NYSE/NASDAQ</v>
      </c>
      <c r="E73" s="10" t="str">
        <f>IFERROR(INDEX(Universo_Activos!$D$3:$D$1022,MATCH(B73,Universo_Activos!$C$3:$C$1022,0)),"")</f>
        <v>NASDAQ:ABBV</v>
      </c>
      <c r="F73" s="10" t="str">
        <f>IFERROR(INDEX(Universo_Activos!$E$3:$E$1022,MATCH(B73,Universo_Activos!$C$3:$C$1022,0)),"")</f>
        <v>US00287Y1091</v>
      </c>
      <c r="G73" s="11">
        <v>79.6</v>
      </c>
      <c r="H73" s="12">
        <v>-0.0368</v>
      </c>
      <c r="I73" s="12">
        <v>0.0753</v>
      </c>
      <c r="J73" s="12">
        <v>0.0485</v>
      </c>
      <c r="K73" s="12">
        <v>-0.0313</v>
      </c>
      <c r="L73" s="12">
        <v>0.0616</v>
      </c>
      <c r="M73" s="11">
        <v>466.8</v>
      </c>
      <c r="N73" s="11">
        <v>468.15</v>
      </c>
      <c r="O73" s="11">
        <v>467.87043480433647</v>
      </c>
      <c r="P73" s="11">
        <v>468.13804350542057</v>
      </c>
      <c r="Q73" s="11">
        <v>468.8773328445699</v>
      </c>
      <c r="R73" s="11">
        <v>469.0959994597878</v>
      </c>
      <c r="S73" s="11">
        <v>468.3337786918833</v>
      </c>
      <c r="T73" s="11">
        <v>468.3963819037969</v>
      </c>
      <c r="U73" s="11">
        <v>467.74040097354373</v>
      </c>
      <c r="V73" s="11">
        <v>467.75302380540336</v>
      </c>
      <c r="W73" s="7" t="str">
        <f t="shared" si="18"/>
        <v>BAJISTA</v>
      </c>
      <c r="X73" s="7">
        <f t="shared" si="19"/>
      </c>
      <c r="Y73" s="11">
        <v>466.8</v>
      </c>
      <c r="Z73" s="11">
        <v>465.9</v>
      </c>
      <c r="AA73" s="11">
        <v>468.7005949804359</v>
      </c>
      <c r="AB73" s="11">
        <v>469.17574372554486</v>
      </c>
      <c r="AC73" s="11">
        <v>467.334548525836</v>
      </c>
      <c r="AD73" s="11">
        <v>467.39081679171346</v>
      </c>
      <c r="AE73" s="11">
        <v>468.12707401946045</v>
      </c>
      <c r="AF73" s="11">
        <v>468.181240305969</v>
      </c>
      <c r="AG73" s="11">
        <v>478.01633307994376</v>
      </c>
      <c r="AH73" s="11">
        <v>478.16688788638595</v>
      </c>
      <c r="AI73" s="7">
        <f t="shared" si="20"/>
      </c>
      <c r="AJ73" s="7">
        <f t="shared" si="21"/>
      </c>
      <c r="AK73" s="7" t="str">
        <f>IF(W73&lt;&gt;"",IFERROR(INDEX(Niveles_Importancia!$A$3:$A$30,MATCH("Vela|"&amp;$E$5&amp;"|15 min",Niveles_Importancia!$H$3:$H$30,0)),"Sin clasificar"),IF(X73&lt;&gt;"",IFERROR(INDEX(Niveles_Importancia!$A$3:$A$30,MATCH($E$5&amp;"|"&amp;$E$6&amp;"|15 min",Niveles_Importancia!$H$3:$H$30,0)),"Sin clasificar"),IF(AI73&lt;&gt;"",IFERROR(INDEX(Niveles_Importancia!$A$3:$A$30,MATCH("Vela|"&amp;$E$5&amp;"|1 hora",Niveles_Importancia!$H$3:$H$30,0)),"Sin clasificar"),IF(AJ73&lt;&gt;"",IFERROR(INDEX(Niveles_Importancia!$A$3:$A$30,MATCH($E$5&amp;"|"&amp;$E$6&amp;"|1 hora",Niveles_Importancia!$H$3:$H$30,0)),"Sin clasificar"),""))))</f>
        <v>Sin clasificar</v>
      </c>
      <c r="AL73" s="7" t="str">
        <f t="shared" si="22"/>
        <v>Cruce bajista detectado en AbbVie (NYSE/NASDAQ). La vela ha cruzado EMA 9 en 15 min. Nivel: Sin clasificar. Precio: 467. 31/07/yyyy 20:15</v>
      </c>
      <c r="AM73" s="7" t="str">
        <f t="shared" si="23"/>
        <v>AbbVie|15min-VelaMA1|yyyy07312015</v>
      </c>
    </row>
    <row r="74" spans="1:39" x14ac:dyDescent="0.25">
      <c r="A74" s="7">
        <v>63</v>
      </c>
      <c r="B74" s="8" t="s">
        <v>151</v>
      </c>
      <c r="C74" s="10" t="str">
        <f>IFERROR(INDEX(Universo_Activos!$A$3:$A$1022,MATCH(B74,Universo_Activos!$C$3:$C$1022,0)),"")</f>
        <v>Acciones USA</v>
      </c>
      <c r="D74" s="10" t="str">
        <f>IFERROR(INDEX(Universo_Activos!$B$3:$B$1022,MATCH(B74,Universo_Activos!$C$3:$C$1022,0)),"")</f>
        <v>NYSE/NASDAQ</v>
      </c>
      <c r="E74" s="10" t="str">
        <f>IFERROR(INDEX(Universo_Activos!$D$3:$D$1022,MATCH(B74,Universo_Activos!$C$3:$C$1022,0)),"")</f>
        <v>NASDAQ:BAC</v>
      </c>
      <c r="F74" s="10" t="str">
        <f>IFERROR(INDEX(Universo_Activos!$E$3:$E$1022,MATCH(B74,Universo_Activos!$C$3:$C$1022,0)),"")</f>
        <v>US0605051046</v>
      </c>
      <c r="G74" s="11">
        <v>180.88</v>
      </c>
      <c r="H74" s="12">
        <v>0.0586</v>
      </c>
      <c r="I74" s="12">
        <v>-0.0507</v>
      </c>
      <c r="J74" s="12">
        <v>-0.0553</v>
      </c>
      <c r="K74" s="12">
        <v>0.0653</v>
      </c>
      <c r="L74" s="12">
        <v>0.0508</v>
      </c>
      <c r="M74" s="11">
        <v>162.8</v>
      </c>
      <c r="N74" s="11">
        <v>163.04</v>
      </c>
      <c r="O74" s="11">
        <v>162.02401094208562</v>
      </c>
      <c r="P74" s="11">
        <v>161.83001367760704</v>
      </c>
      <c r="Q74" s="11">
        <v>160.892501786353</v>
      </c>
      <c r="R74" s="11">
        <v>160.69171250070593</v>
      </c>
      <c r="S74" s="11">
        <v>158.419958926268</v>
      </c>
      <c r="T74" s="11">
        <v>158.24118173958507</v>
      </c>
      <c r="U74" s="11">
        <v>150.86605250777296</v>
      </c>
      <c r="V74" s="11">
        <v>150.7058652931122</v>
      </c>
      <c r="W74" s="7">
        <f t="shared" si="18"/>
      </c>
      <c r="X74" s="7">
        <f t="shared" si="19"/>
      </c>
      <c r="Y74" s="11">
        <v>162.8</v>
      </c>
      <c r="Z74" s="11">
        <v>162.5</v>
      </c>
      <c r="AA74" s="11">
        <v>160.2918874341871</v>
      </c>
      <c r="AB74" s="11">
        <v>159.66485929273387</v>
      </c>
      <c r="AC74" s="11">
        <v>156.64441495590808</v>
      </c>
      <c r="AD74" s="11">
        <v>155.99645863547735</v>
      </c>
      <c r="AE74" s="11">
        <v>149.14904812616723</v>
      </c>
      <c r="AF74" s="11">
        <v>148.5918664170312</v>
      </c>
      <c r="AG74" s="11">
        <v>142.1365475695528</v>
      </c>
      <c r="AH74" s="11">
        <v>141.8591857919629</v>
      </c>
      <c r="AI74" s="7">
        <f t="shared" si="20"/>
      </c>
      <c r="AJ74" s="7">
        <f t="shared" si="21"/>
      </c>
      <c r="AK74" s="7">
        <f>IF(W74&lt;&gt;"",IFERROR(INDEX(Niveles_Importancia!$A$3:$A$30,MATCH("Vela|"&amp;$E$5&amp;"|15 min",Niveles_Importancia!$H$3:$H$30,0)),"Sin clasificar"),IF(X74&lt;&gt;"",IFERROR(INDEX(Niveles_Importancia!$A$3:$A$30,MATCH($E$5&amp;"|"&amp;$E$6&amp;"|15 min",Niveles_Importancia!$H$3:$H$30,0)),"Sin clasificar"),IF(AI74&lt;&gt;"",IFERROR(INDEX(Niveles_Importancia!$A$3:$A$30,MATCH("Vela|"&amp;$E$5&amp;"|1 hora",Niveles_Importancia!$H$3:$H$30,0)),"Sin clasificar"),IF(AJ74&lt;&gt;"",IFERROR(INDEX(Niveles_Importancia!$A$3:$A$30,MATCH($E$5&amp;"|"&amp;$E$6&amp;"|1 hora",Niveles_Importancia!$H$3:$H$30,0)),"Sin clasificar"),""))))</f>
      </c>
      <c r="AL74" s="7">
        <f t="shared" si="22"/>
      </c>
      <c r="AM74" s="7">
        <f t="shared" si="23"/>
      </c>
    </row>
    <row r="75" spans="1:39" x14ac:dyDescent="0.25">
      <c r="A75" s="7">
        <v>64</v>
      </c>
      <c r="B75" s="8" t="s">
        <v>152</v>
      </c>
      <c r="C75" s="10" t="str">
        <f>IFERROR(INDEX(Universo_Activos!$A$3:$A$1022,MATCH(B75,Universo_Activos!$C$3:$C$1022,0)),"")</f>
        <v>Acciones USA</v>
      </c>
      <c r="D75" s="10" t="str">
        <f>IFERROR(INDEX(Universo_Activos!$B$3:$B$1022,MATCH(B75,Universo_Activos!$C$3:$C$1022,0)),"")</f>
        <v>NYSE/NASDAQ</v>
      </c>
      <c r="E75" s="10" t="str">
        <f>IFERROR(INDEX(Universo_Activos!$D$3:$D$1022,MATCH(B75,Universo_Activos!$C$3:$C$1022,0)),"")</f>
        <v>NASDAQ:KO</v>
      </c>
      <c r="F75" s="10" t="str">
        <f>IFERROR(INDEX(Universo_Activos!$E$3:$E$1022,MATCH(B75,Universo_Activos!$C$3:$C$1022,0)),"")</f>
        <v>US1912161007</v>
      </c>
      <c r="G75" s="11">
        <v>39.26</v>
      </c>
      <c r="H75" s="12">
        <v>-0.0435</v>
      </c>
      <c r="I75" s="12">
        <v>0.0095</v>
      </c>
      <c r="J75" s="12">
        <v>0.0564</v>
      </c>
      <c r="K75" s="12">
        <v>0.0183</v>
      </c>
      <c r="L75" s="12">
        <v>-0.0352</v>
      </c>
      <c r="M75" s="11">
        <v>343.495</v>
      </c>
      <c r="N75" s="11">
        <v>343.695</v>
      </c>
      <c r="O75" s="11">
        <v>342.96764759805137</v>
      </c>
      <c r="P75" s="11">
        <v>342.8358094975642</v>
      </c>
      <c r="Q75" s="11">
        <v>342.0359993644087</v>
      </c>
      <c r="R75" s="11">
        <v>341.88242035013593</v>
      </c>
      <c r="S75" s="11">
        <v>340.0608759765768</v>
      </c>
      <c r="T75" s="11">
        <v>339.92070764909016</v>
      </c>
      <c r="U75" s="11">
        <v>334.8318524240292</v>
      </c>
      <c r="V75" s="11">
        <v>334.71556856394903</v>
      </c>
      <c r="W75" s="7">
        <f t="shared" si="18"/>
      </c>
      <c r="X75" s="7">
        <f t="shared" si="19"/>
      </c>
      <c r="Y75" s="11">
        <v>343.495</v>
      </c>
      <c r="Z75" s="11">
        <v>343.6</v>
      </c>
      <c r="AA75" s="11">
        <v>341.4473227361075</v>
      </c>
      <c r="AB75" s="11">
        <v>340.9354034201344</v>
      </c>
      <c r="AC75" s="11">
        <v>338.75188286580726</v>
      </c>
      <c r="AD75" s="11">
        <v>338.2526073779975</v>
      </c>
      <c r="AE75" s="11">
        <v>333.45537903042117</v>
      </c>
      <c r="AF75" s="11">
        <v>333.0455985826833</v>
      </c>
      <c r="AG75" s="11">
        <v>322.498394525683</v>
      </c>
      <c r="AH75" s="11">
        <v>322.2165608951553</v>
      </c>
      <c r="AI75" s="7">
        <f t="shared" si="20"/>
      </c>
      <c r="AJ75" s="7">
        <f t="shared" si="21"/>
      </c>
      <c r="AK75" s="7">
        <f>IF(W75&lt;&gt;"",IFERROR(INDEX(Niveles_Importancia!$A$3:$A$30,MATCH("Vela|"&amp;$E$5&amp;"|15 min",Niveles_Importancia!$H$3:$H$30,0)),"Sin clasificar"),IF(X75&lt;&gt;"",IFERROR(INDEX(Niveles_Importancia!$A$3:$A$30,MATCH($E$5&amp;"|"&amp;$E$6&amp;"|15 min",Niveles_Importancia!$H$3:$H$30,0)),"Sin clasificar"),IF(AI75&lt;&gt;"",IFERROR(INDEX(Niveles_Importancia!$A$3:$A$30,MATCH("Vela|"&amp;$E$5&amp;"|1 hora",Niveles_Importancia!$H$3:$H$30,0)),"Sin clasificar"),IF(AJ75&lt;&gt;"",IFERROR(INDEX(Niveles_Importancia!$A$3:$A$30,MATCH($E$5&amp;"|"&amp;$E$6&amp;"|1 hora",Niveles_Importancia!$H$3:$H$30,0)),"Sin clasificar"),""))))</f>
      </c>
      <c r="AL75" s="7">
        <f t="shared" si="22"/>
      </c>
      <c r="AM75" s="7">
        <f t="shared" si="23"/>
      </c>
    </row>
    <row r="76" spans="1:39" x14ac:dyDescent="0.25">
      <c r="A76" s="7">
        <v>65</v>
      </c>
      <c r="B76" s="8" t="s">
        <v>153</v>
      </c>
      <c r="C76" s="10" t="str">
        <f>IFERROR(INDEX(Universo_Activos!$A$3:$A$1022,MATCH(B76,Universo_Activos!$C$3:$C$1022,0)),"")</f>
        <v>Acciones USA</v>
      </c>
      <c r="D76" s="10" t="str">
        <f>IFERROR(INDEX(Universo_Activos!$B$3:$B$1022,MATCH(B76,Universo_Activos!$C$3:$C$1022,0)),"")</f>
        <v>NYSE/NASDAQ</v>
      </c>
      <c r="E76" s="10" t="str">
        <f>IFERROR(INDEX(Universo_Activos!$D$3:$D$1022,MATCH(B76,Universo_Activos!$C$3:$C$1022,0)),"")</f>
        <v>NASDAQ:INTC</v>
      </c>
      <c r="F76" s="10" t="str">
        <f>IFERROR(INDEX(Universo_Activos!$E$3:$E$1022,MATCH(B76,Universo_Activos!$C$3:$C$1022,0)),"")</f>
        <v>US4581401001</v>
      </c>
      <c r="G76" s="11">
        <v>216.27</v>
      </c>
      <c r="H76" s="12">
        <v>0.074</v>
      </c>
      <c r="I76" s="12">
        <v>-0.0766</v>
      </c>
      <c r="J76" s="12">
        <v>0.0218</v>
      </c>
      <c r="K76" s="12">
        <v>-0.0028</v>
      </c>
      <c r="L76" s="12">
        <v>0.0369</v>
      </c>
      <c r="M76" s="11">
        <v>400.45</v>
      </c>
      <c r="N76" s="11">
        <v>399.15</v>
      </c>
      <c r="O76" s="11">
        <v>397.72969630686225</v>
      </c>
      <c r="P76" s="11">
        <v>397.0496203835778</v>
      </c>
      <c r="Q76" s="11">
        <v>396.42652133961946</v>
      </c>
      <c r="R76" s="11">
        <v>396.0029972701057</v>
      </c>
      <c r="S76" s="11">
        <v>394.952058511691</v>
      </c>
      <c r="T76" s="11">
        <v>394.727652736658</v>
      </c>
      <c r="U76" s="11">
        <v>392.45661674979596</v>
      </c>
      <c r="V76" s="11">
        <v>392.3493230148939</v>
      </c>
      <c r="W76" s="7">
        <f t="shared" si="18"/>
      </c>
      <c r="X76" s="7">
        <f t="shared" si="19"/>
      </c>
      <c r="Y76" s="11">
        <v>400.45</v>
      </c>
      <c r="Z76" s="11">
        <v>398.7</v>
      </c>
      <c r="AA76" s="11">
        <v>396.5568956057862</v>
      </c>
      <c r="AB76" s="11">
        <v>395.58361950723275</v>
      </c>
      <c r="AC76" s="11">
        <v>394.32573068591864</v>
      </c>
      <c r="AD76" s="11">
        <v>393.6810707581206</v>
      </c>
      <c r="AE76" s="11">
        <v>392.3074205354215</v>
      </c>
      <c r="AF76" s="11">
        <v>391.9750703531938</v>
      </c>
      <c r="AG76" s="11">
        <v>392.1834445401125</v>
      </c>
      <c r="AH76" s="11">
        <v>392.07248406414084</v>
      </c>
      <c r="AI76" s="7">
        <f t="shared" si="20"/>
      </c>
      <c r="AJ76" s="7">
        <f t="shared" si="21"/>
      </c>
      <c r="AK76" s="7">
        <f>IF(W76&lt;&gt;"",IFERROR(INDEX(Niveles_Importancia!$A$3:$A$30,MATCH("Vela|"&amp;$E$5&amp;"|15 min",Niveles_Importancia!$H$3:$H$30,0)),"Sin clasificar"),IF(X76&lt;&gt;"",IFERROR(INDEX(Niveles_Importancia!$A$3:$A$30,MATCH($E$5&amp;"|"&amp;$E$6&amp;"|15 min",Niveles_Importancia!$H$3:$H$30,0)),"Sin clasificar"),IF(AI76&lt;&gt;"",IFERROR(INDEX(Niveles_Importancia!$A$3:$A$30,MATCH("Vela|"&amp;$E$5&amp;"|1 hora",Niveles_Importancia!$H$3:$H$30,0)),"Sin clasificar"),IF(AJ76&lt;&gt;"",IFERROR(INDEX(Niveles_Importancia!$A$3:$A$30,MATCH($E$5&amp;"|"&amp;$E$6&amp;"|1 hora",Niveles_Importancia!$H$3:$H$30,0)),"Sin clasificar"),""))))</f>
      </c>
      <c r="AL76" s="7">
        <f t="shared" si="22"/>
      </c>
      <c r="AM76" s="7">
        <f t="shared" si="23"/>
      </c>
    </row>
    <row r="77" spans="1:39" x14ac:dyDescent="0.25">
      <c r="A77" s="7">
        <v>66</v>
      </c>
      <c r="B77" s="8" t="s">
        <v>154</v>
      </c>
      <c r="C77" s="10" t="str">
        <f>IFERROR(INDEX(Universo_Activos!$A$3:$A$1022,MATCH(B77,Universo_Activos!$C$3:$C$1022,0)),"")</f>
        <v>Acciones USA</v>
      </c>
      <c r="D77" s="10" t="str">
        <f>IFERROR(INDEX(Universo_Activos!$B$3:$B$1022,MATCH(B77,Universo_Activos!$C$3:$C$1022,0)),"")</f>
        <v>NYSE/NASDAQ</v>
      </c>
      <c r="E77" s="10" t="str">
        <f>IFERROR(INDEX(Universo_Activos!$D$3:$D$1022,MATCH(B77,Universo_Activos!$C$3:$C$1022,0)),"")</f>
        <v>NASDAQ:GS</v>
      </c>
      <c r="F77" s="10" t="str">
        <f>IFERROR(INDEX(Universo_Activos!$E$3:$E$1022,MATCH(B77,Universo_Activos!$C$3:$C$1022,0)),"")</f>
        <v>US38141G1040</v>
      </c>
      <c r="G77" s="11">
        <v>183.15</v>
      </c>
      <c r="H77" s="12">
        <v>0.0174</v>
      </c>
      <c r="I77" s="12">
        <v>-0.0672</v>
      </c>
      <c r="J77" s="12">
        <v>0.0223</v>
      </c>
      <c r="K77" s="12">
        <v>0.0789</v>
      </c>
      <c r="L77" s="12">
        <v>0.0608</v>
      </c>
      <c r="M77" s="11">
        <v>304.96</v>
      </c>
      <c r="N77" s="11">
        <v>304.4</v>
      </c>
      <c r="O77" s="11">
        <v>303.47206143357977</v>
      </c>
      <c r="P77" s="11">
        <v>303.10007679197474</v>
      </c>
      <c r="Q77" s="11">
        <v>303.4582416293195</v>
      </c>
      <c r="R77" s="11">
        <v>303.3001618008268</v>
      </c>
      <c r="S77" s="11">
        <v>305.28698458337374</v>
      </c>
      <c r="T77" s="11">
        <v>305.3003308928992</v>
      </c>
      <c r="U77" s="11">
        <v>321.7337749041128</v>
      </c>
      <c r="V77" s="11">
        <v>321.9589262451076</v>
      </c>
      <c r="W77" s="7">
        <f t="shared" si="18"/>
      </c>
      <c r="X77" s="7" t="str">
        <f t="shared" si="19"/>
        <v>ALCISTA</v>
      </c>
      <c r="Y77" s="11">
        <v>304.96</v>
      </c>
      <c r="Z77" s="11">
        <v>302.62</v>
      </c>
      <c r="AA77" s="11">
        <v>304.1534957759352</v>
      </c>
      <c r="AB77" s="11">
        <v>303.951869719919</v>
      </c>
      <c r="AC77" s="11">
        <v>308.2165465268921</v>
      </c>
      <c r="AD77" s="11">
        <v>308.5593408981439</v>
      </c>
      <c r="AE77" s="11">
        <v>327.44218938018787</v>
      </c>
      <c r="AF77" s="11">
        <v>328.3598297630527</v>
      </c>
      <c r="AG77" s="11">
        <v>363.4163646519249</v>
      </c>
      <c r="AH77" s="11">
        <v>364.2010138418836</v>
      </c>
      <c r="AI77" s="7" t="str">
        <f t="shared" si="20"/>
        <v>ALCISTA</v>
      </c>
      <c r="AJ77" s="7">
        <f t="shared" si="21"/>
      </c>
      <c r="AK77" s="7">
        <f>IF(W77&lt;&gt;"",IFERROR(INDEX(Niveles_Importancia!$A$3:$A$30,MATCH("Vela|"&amp;$E$5&amp;"|15 min",Niveles_Importancia!$H$3:$H$30,0)),"Sin clasificar"),IF(X77&lt;&gt;"",IFERROR(INDEX(Niveles_Importancia!$A$3:$A$30,MATCH($E$5&amp;"|"&amp;$E$6&amp;"|15 min",Niveles_Importancia!$H$3:$H$30,0)),"Sin clasificar"),IF(AI77&lt;&gt;"",IFERROR(INDEX(Niveles_Importancia!$A$3:$A$30,MATCH("Vela|"&amp;$E$5&amp;"|1 hora",Niveles_Importancia!$H$3:$H$30,0)),"Sin clasificar"),IF(AJ77&lt;&gt;"",IFERROR(INDEX(Niveles_Importancia!$A$3:$A$30,MATCH($E$5&amp;"|"&amp;$E$6&amp;"|1 hora",Niveles_Importancia!$H$3:$H$30,0)),"Sin clasificar"),""))))</f>
        <v>1</v>
      </c>
      <c r="AL77" s="7" t="str">
        <f t="shared" si="22"/>
        <v>Cruce alcista detectado en Goldman Sachs (NYSE/NASDAQ). EMA 9 ha cruzado EMA 20 en 15 min. Nivel: 1. 31/07/yyyy 20:15</v>
      </c>
      <c r="AM77" s="7" t="str">
        <f t="shared" si="23"/>
        <v>Goldman Sachs|15min-MA1MA2|yyyy07312015</v>
      </c>
    </row>
    <row r="78" spans="1:39" x14ac:dyDescent="0.25">
      <c r="A78" s="7">
        <v>67</v>
      </c>
      <c r="B78" s="8" t="s">
        <v>155</v>
      </c>
      <c r="C78" s="10" t="str">
        <f>IFERROR(INDEX(Universo_Activos!$A$3:$A$1022,MATCH(B78,Universo_Activos!$C$3:$C$1022,0)),"")</f>
        <v>Acciones USA</v>
      </c>
      <c r="D78" s="10" t="str">
        <f>IFERROR(INDEX(Universo_Activos!$B$3:$B$1022,MATCH(B78,Universo_Activos!$C$3:$C$1022,0)),"")</f>
        <v>NYSE</v>
      </c>
      <c r="E78" s="10" t="str">
        <f>IFERROR(INDEX(Universo_Activos!$D$3:$D$1022,MATCH(B78,Universo_Activos!$C$3:$C$1022,0)),"")</f>
        <v>NYSE:NKE</v>
      </c>
      <c r="F78" s="10" t="str">
        <f>IFERROR(INDEX(Universo_Activos!$E$3:$E$1022,MATCH(B78,Universo_Activos!$C$3:$C$1022,0)),"")</f>
        <v>US6541061031</v>
      </c>
      <c r="G78" s="11">
        <v>76.72</v>
      </c>
      <c r="H78" s="12">
        <v>-0.0529</v>
      </c>
      <c r="I78" s="12">
        <v>0.0649</v>
      </c>
      <c r="J78" s="12">
        <v>0.0256</v>
      </c>
      <c r="K78" s="12">
        <v>-0.0093</v>
      </c>
      <c r="L78" s="12">
        <v>0.0627</v>
      </c>
      <c r="M78" s="11">
        <v>1.13972</v>
      </c>
      <c r="N78" s="11">
        <v>1.14003</v>
      </c>
      <c r="O78" s="11">
        <v>1.139576466067868</v>
      </c>
      <c r="P78" s="11">
        <v>1.139540582584835</v>
      </c>
      <c r="Q78" s="11">
        <v>1.138596475449015</v>
      </c>
      <c r="R78" s="11">
        <v>1.1384841229939164</v>
      </c>
      <c r="S78" s="11">
        <v>1.1377499368624893</v>
      </c>
      <c r="T78" s="11">
        <v>1.1376695261221828</v>
      </c>
      <c r="U78" s="11">
        <v>1.1376783575413316</v>
      </c>
      <c r="V78" s="11">
        <v>1.137650952944571</v>
      </c>
      <c r="W78" s="7">
        <f t="shared" si="18"/>
      </c>
      <c r="X78" s="7">
        <f t="shared" si="19"/>
      </c>
      <c r="Y78" s="11">
        <v>1.13972</v>
      </c>
      <c r="Z78" s="11">
        <v>1.14003</v>
      </c>
      <c r="AA78" s="11">
        <v>1.1380810317652519</v>
      </c>
      <c r="AB78" s="11">
        <v>1.1376712897065648</v>
      </c>
      <c r="AC78" s="11">
        <v>1.1376433367389955</v>
      </c>
      <c r="AD78" s="11">
        <v>1.1374356704128952</v>
      </c>
      <c r="AE78" s="11">
        <v>1.1379489876466264</v>
      </c>
      <c r="AF78" s="11">
        <v>1.1378767014281215</v>
      </c>
      <c r="AG78" s="11">
        <v>1.1393512960439711</v>
      </c>
      <c r="AH78" s="11">
        <v>1.1393463469975815</v>
      </c>
      <c r="AI78" s="7">
        <f t="shared" si="20"/>
      </c>
      <c r="AJ78" s="7">
        <f t="shared" si="21"/>
      </c>
      <c r="AK78" s="7">
        <f>IF(W78&lt;&gt;"",IFERROR(INDEX(Niveles_Importancia!$A$3:$A$30,MATCH("Vela|"&amp;$E$5&amp;"|15 min",Niveles_Importancia!$H$3:$H$30,0)),"Sin clasificar"),IF(X78&lt;&gt;"",IFERROR(INDEX(Niveles_Importancia!$A$3:$A$30,MATCH($E$5&amp;"|"&amp;$E$6&amp;"|15 min",Niveles_Importancia!$H$3:$H$30,0)),"Sin clasificar"),IF(AI78&lt;&gt;"",IFERROR(INDEX(Niveles_Importancia!$A$3:$A$30,MATCH("Vela|"&amp;$E$5&amp;"|1 hora",Niveles_Importancia!$H$3:$H$30,0)),"Sin clasificar"),IF(AJ78&lt;&gt;"",IFERROR(INDEX(Niveles_Importancia!$A$3:$A$30,MATCH($E$5&amp;"|"&amp;$E$6&amp;"|1 hora",Niveles_Importancia!$H$3:$H$30,0)),"Sin clasificar"),""))))</f>
      </c>
      <c r="AL78" s="7">
        <f t="shared" si="22"/>
      </c>
      <c r="AM78" s="7">
        <f t="shared" si="23"/>
      </c>
    </row>
    <row r="79" spans="1:39" x14ac:dyDescent="0.25">
      <c r="A79" s="7">
        <v>68</v>
      </c>
      <c r="B79" s="8" t="s">
        <v>156</v>
      </c>
      <c r="C79" s="10" t="str">
        <f>IFERROR(INDEX(Universo_Activos!$A$3:$A$1022,MATCH(B79,Universo_Activos!$C$3:$C$1022,0)),"")</f>
        <v>Acciones USA</v>
      </c>
      <c r="D79" s="10" t="str">
        <f>IFERROR(INDEX(Universo_Activos!$B$3:$B$1022,MATCH(B79,Universo_Activos!$C$3:$C$1022,0)),"")</f>
        <v>NYSE/NASDAQ</v>
      </c>
      <c r="E79" s="10" t="str">
        <f>IFERROR(INDEX(Universo_Activos!$D$3:$D$1022,MATCH(B79,Universo_Activos!$C$3:$C$1022,0)),"")</f>
        <v>NASDAQ:SOFI</v>
      </c>
      <c r="F79" s="10" t="str">
        <f>IFERROR(INDEX(Universo_Activos!$E$3:$E$1022,MATCH(B79,Universo_Activos!$C$3:$C$1022,0)),"")</f>
        <v>US83406F1021</v>
      </c>
      <c r="G79" s="11">
        <v>79.94</v>
      </c>
      <c r="H79" s="12">
        <v>-0.0138</v>
      </c>
      <c r="I79" s="12">
        <v>0.0201</v>
      </c>
      <c r="J79" s="12">
        <v>-0.001</v>
      </c>
      <c r="K79" s="12">
        <v>-0.0295</v>
      </c>
      <c r="L79" s="12">
        <v>0.0543</v>
      </c>
      <c r="M79" s="11">
        <v>1.33017</v>
      </c>
      <c r="N79" s="11">
        <v>1.33047</v>
      </c>
      <c r="O79" s="11">
        <v>1.3303390642082802</v>
      </c>
      <c r="P79" s="11">
        <v>1.3303813302603502</v>
      </c>
      <c r="Q79" s="11">
        <v>1.3299116369990274</v>
      </c>
      <c r="R79" s="11">
        <v>1.32988580069893</v>
      </c>
      <c r="S79" s="11">
        <v>1.329581888143273</v>
      </c>
      <c r="T79" s="11">
        <v>1.3295578835776924</v>
      </c>
      <c r="U79" s="11">
        <v>1.330210190603126</v>
      </c>
      <c r="V79" s="11">
        <v>1.330210730074309</v>
      </c>
      <c r="W79" s="7" t="str">
        <f t="shared" si="18"/>
        <v>BAJISTA</v>
      </c>
      <c r="X79" s="7">
        <f t="shared" si="19"/>
      </c>
      <c r="Y79" s="11">
        <v>1.33017</v>
      </c>
      <c r="Z79" s="11">
        <v>1.3309199999999999</v>
      </c>
      <c r="AA79" s="11">
        <v>1.3296584187379816</v>
      </c>
      <c r="AB79" s="11">
        <v>1.329530523422477</v>
      </c>
      <c r="AC79" s="11">
        <v>1.3297158070519384</v>
      </c>
      <c r="AD79" s="11">
        <v>1.329670387757132</v>
      </c>
      <c r="AE79" s="11">
        <v>1.3308628345028086</v>
      </c>
      <c r="AF79" s="11">
        <v>1.3308911134621069</v>
      </c>
      <c r="AG79" s="11">
        <v>1.3345566142624254</v>
      </c>
      <c r="AH79" s="11">
        <v>1.3346154949907802</v>
      </c>
      <c r="AI79" s="7">
        <f t="shared" si="20"/>
      </c>
      <c r="AJ79" s="7">
        <f t="shared" si="21"/>
      </c>
      <c r="AK79" s="7" t="str">
        <f>IF(W79&lt;&gt;"",IFERROR(INDEX(Niveles_Importancia!$A$3:$A$30,MATCH("Vela|"&amp;$E$5&amp;"|15 min",Niveles_Importancia!$H$3:$H$30,0)),"Sin clasificar"),IF(X79&lt;&gt;"",IFERROR(INDEX(Niveles_Importancia!$A$3:$A$30,MATCH($E$5&amp;"|"&amp;$E$6&amp;"|15 min",Niveles_Importancia!$H$3:$H$30,0)),"Sin clasificar"),IF(AI79&lt;&gt;"",IFERROR(INDEX(Niveles_Importancia!$A$3:$A$30,MATCH("Vela|"&amp;$E$5&amp;"|1 hora",Niveles_Importancia!$H$3:$H$30,0)),"Sin clasificar"),IF(AJ79&lt;&gt;"",IFERROR(INDEX(Niveles_Importancia!$A$3:$A$30,MATCH($E$5&amp;"|"&amp;$E$6&amp;"|1 hora",Niveles_Importancia!$H$3:$H$30,0)),"Sin clasificar"),""))))</f>
        <v>Sin clasificar</v>
      </c>
      <c r="AL79" s="7" t="str">
        <f t="shared" si="22"/>
        <v>Cruce bajista detectado en SoFi Technologies (NYSE/NASDAQ). La vela ha cruzado EMA 9 en 15 min. Nivel: Sin clasificar. Precio: 001. 31/07/yyyy 20:15</v>
      </c>
      <c r="AM79" s="7" t="str">
        <f t="shared" si="23"/>
        <v>SoFi Technologies|15min-VelaMA1|yyyy07312015</v>
      </c>
    </row>
    <row r="80" spans="1:39" x14ac:dyDescent="0.25">
      <c r="A80" s="7">
        <v>69</v>
      </c>
      <c r="B80" s="8" t="s">
        <v>157</v>
      </c>
      <c r="C80" s="10" t="str">
        <f>IFERROR(INDEX(Universo_Activos!$A$3:$A$1022,MATCH(B80,Universo_Activos!$C$3:$C$1022,0)),"")</f>
        <v>Acciones USA</v>
      </c>
      <c r="D80" s="10" t="str">
        <f>IFERROR(INDEX(Universo_Activos!$B$3:$B$1022,MATCH(B80,Universo_Activos!$C$3:$C$1022,0)),"")</f>
        <v>NYSE/NASDAQ</v>
      </c>
      <c r="E80" s="10" t="str">
        <f>IFERROR(INDEX(Universo_Activos!$D$3:$D$1022,MATCH(B80,Universo_Activos!$C$3:$C$1022,0)),"")</f>
        <v>NASDAQ:SFM</v>
      </c>
      <c r="F80" s="10" t="str">
        <f>IFERROR(INDEX(Universo_Activos!$E$3:$E$1022,MATCH(B80,Universo_Activos!$C$3:$C$1022,0)),"")</f>
        <v>US85208M1027</v>
      </c>
      <c r="G80" s="11">
        <v>196.39</v>
      </c>
      <c r="H80" s="12">
        <v>0.0248</v>
      </c>
      <c r="I80" s="12">
        <v>0.0492</v>
      </c>
      <c r="J80" s="12">
        <v>0.0734</v>
      </c>
      <c r="K80" s="12">
        <v>0.0295</v>
      </c>
      <c r="L80" s="12">
        <v>-0.0481</v>
      </c>
      <c r="M80" s="11">
        <v>64350.72</v>
      </c>
      <c r="N80" s="11">
        <v>64322.01</v>
      </c>
      <c r="O80" s="11">
        <v>64110.176715052105</v>
      </c>
      <c r="P80" s="11">
        <v>64050.04089381513</v>
      </c>
      <c r="Q80" s="11">
        <v>64070.172881340935</v>
      </c>
      <c r="R80" s="11">
        <v>64040.64160569261</v>
      </c>
      <c r="S80" s="11">
        <v>64092.445889691815</v>
      </c>
      <c r="T80" s="11">
        <v>64081.90408927108</v>
      </c>
      <c r="U80" s="11">
        <v>64074.104651002024</v>
      </c>
      <c r="V80" s="11">
        <v>64070.39169329735</v>
      </c>
      <c r="W80" s="7">
        <f t="shared" si="18"/>
      </c>
      <c r="X80" s="7">
        <f t="shared" si="19"/>
      </c>
      <c r="Y80" s="11">
        <v>64350.72</v>
      </c>
      <c r="Z80" s="11">
        <v>64189.4</v>
      </c>
      <c r="AA80" s="11">
        <v>64159.84368011483</v>
      </c>
      <c r="AB80" s="11">
        <v>64112.124600143536</v>
      </c>
      <c r="AC80" s="11">
        <v>64101.96952934672</v>
      </c>
      <c r="AD80" s="11">
        <v>64075.785269277956</v>
      </c>
      <c r="AE80" s="11">
        <v>64084.196062164505</v>
      </c>
      <c r="AF80" s="11">
        <v>64073.31753408958</v>
      </c>
      <c r="AG80" s="11">
        <v>64333.88963898166</v>
      </c>
      <c r="AH80" s="11">
        <v>64333.663728095504</v>
      </c>
      <c r="AI80" s="7">
        <f t="shared" si="20"/>
      </c>
      <c r="AJ80" s="7">
        <f t="shared" si="21"/>
      </c>
      <c r="AK80" s="7">
        <f>IF(W80&lt;&gt;"",IFERROR(INDEX(Niveles_Importancia!$A$3:$A$30,MATCH("Vela|"&amp;$E$5&amp;"|15 min",Niveles_Importancia!$H$3:$H$30,0)),"Sin clasificar"),IF(X80&lt;&gt;"",IFERROR(INDEX(Niveles_Importancia!$A$3:$A$30,MATCH($E$5&amp;"|"&amp;$E$6&amp;"|15 min",Niveles_Importancia!$H$3:$H$30,0)),"Sin clasificar"),IF(AI80&lt;&gt;"",IFERROR(INDEX(Niveles_Importancia!$A$3:$A$30,MATCH("Vela|"&amp;$E$5&amp;"|1 hora",Niveles_Importancia!$H$3:$H$30,0)),"Sin clasificar"),IF(AJ80&lt;&gt;"",IFERROR(INDEX(Niveles_Importancia!$A$3:$A$30,MATCH($E$5&amp;"|"&amp;$E$6&amp;"|1 hora",Niveles_Importancia!$H$3:$H$30,0)),"Sin clasificar"),""))))</f>
      </c>
      <c r="AL80" s="7">
        <f t="shared" si="22"/>
      </c>
      <c r="AM80" s="7">
        <f t="shared" si="23"/>
      </c>
    </row>
    <row r="81" spans="1:39" x14ac:dyDescent="0.25">
      <c r="A81" s="7">
        <v>70</v>
      </c>
      <c r="B81" s="8" t="s">
        <v>158</v>
      </c>
      <c r="C81" s="10" t="str">
        <f>IFERROR(INDEX(Universo_Activos!$A$3:$A$1022,MATCH(B81,Universo_Activos!$C$3:$C$1022,0)),"")</f>
        <v>Acciones USA</v>
      </c>
      <c r="D81" s="10" t="str">
        <f>IFERROR(INDEX(Universo_Activos!$B$3:$B$1022,MATCH(B81,Universo_Activos!$C$3:$C$1022,0)),"")</f>
        <v>NYSE/NASDAQ</v>
      </c>
      <c r="E81" s="10" t="str">
        <f>IFERROR(INDEX(Universo_Activos!$D$3:$D$1022,MATCH(B81,Universo_Activos!$C$3:$C$1022,0)),"")</f>
        <v>NASDAQ:FN</v>
      </c>
      <c r="F81" s="10" t="str">
        <f>IFERROR(INDEX(Universo_Activos!$E$3:$E$1022,MATCH(B81,Universo_Activos!$C$3:$C$1022,0)),"")</f>
        <v>KYG3323L1005</v>
      </c>
      <c r="G81" s="11">
        <v>195.15</v>
      </c>
      <c r="H81" s="12">
        <v>0.0656</v>
      </c>
      <c r="I81" s="12">
        <v>-0.0197</v>
      </c>
      <c r="J81" s="12">
        <v>0.011</v>
      </c>
      <c r="K81" s="12">
        <v>0.0607</v>
      </c>
      <c r="L81" s="12">
        <v>0.0475</v>
      </c>
      <c r="M81" s="11">
        <v>1919.4</v>
      </c>
      <c r="N81" s="11">
        <v>1918</v>
      </c>
      <c r="O81" s="11">
        <v>1908.3405888033858</v>
      </c>
      <c r="P81" s="11">
        <v>1905.575736004232</v>
      </c>
      <c r="Q81" s="11">
        <v>1903.8041213564034</v>
      </c>
      <c r="R81" s="11">
        <v>1902.1624499202353</v>
      </c>
      <c r="S81" s="11">
        <v>1904.422135449809</v>
      </c>
      <c r="T81" s="11">
        <v>1903.810794039597</v>
      </c>
      <c r="U81" s="11">
        <v>1907.9678237883966</v>
      </c>
      <c r="V81" s="11">
        <v>1907.8143717587106</v>
      </c>
      <c r="W81" s="7">
        <f t="shared" si="18"/>
      </c>
      <c r="X81" s="7">
        <f t="shared" si="19"/>
      </c>
      <c r="Y81" s="11">
        <v>1919.4</v>
      </c>
      <c r="Z81" s="11">
        <v>1913.63</v>
      </c>
      <c r="AA81" s="11">
        <v>1906.7472825748293</v>
      </c>
      <c r="AB81" s="11">
        <v>1903.5841032185367</v>
      </c>
      <c r="AC81" s="11">
        <v>1906.772482412272</v>
      </c>
      <c r="AD81" s="11">
        <v>1905.4432700346165</v>
      </c>
      <c r="AE81" s="11">
        <v>1907.037041452911</v>
      </c>
      <c r="AF81" s="11">
        <v>1906.5324308999684</v>
      </c>
      <c r="AG81" s="11">
        <v>1900.2126729832498</v>
      </c>
      <c r="AH81" s="11">
        <v>1899.9551249696021</v>
      </c>
      <c r="AI81" s="7">
        <f t="shared" si="20"/>
      </c>
      <c r="AJ81" s="7">
        <f t="shared" si="21"/>
      </c>
      <c r="AK81" s="7">
        <f>IF(W81&lt;&gt;"",IFERROR(INDEX(Niveles_Importancia!$A$3:$A$30,MATCH("Vela|"&amp;$E$5&amp;"|15 min",Niveles_Importancia!$H$3:$H$30,0)),"Sin clasificar"),IF(X81&lt;&gt;"",IFERROR(INDEX(Niveles_Importancia!$A$3:$A$30,MATCH($E$5&amp;"|"&amp;$E$6&amp;"|15 min",Niveles_Importancia!$H$3:$H$30,0)),"Sin clasificar"),IF(AI81&lt;&gt;"",IFERROR(INDEX(Niveles_Importancia!$A$3:$A$30,MATCH("Vela|"&amp;$E$5&amp;"|1 hora",Niveles_Importancia!$H$3:$H$30,0)),"Sin clasificar"),IF(AJ81&lt;&gt;"",IFERROR(INDEX(Niveles_Importancia!$A$3:$A$30,MATCH($E$5&amp;"|"&amp;$E$6&amp;"|1 hora",Niveles_Importancia!$H$3:$H$30,0)),"Sin clasificar"),""))))</f>
      </c>
      <c r="AL81" s="7">
        <f t="shared" si="22"/>
      </c>
      <c r="AM81" s="7">
        <f t="shared" si="23"/>
      </c>
    </row>
    <row r="82" spans="1:39" x14ac:dyDescent="0.25">
      <c r="A82" s="7">
        <v>71</v>
      </c>
      <c r="B82" s="8" t="s">
        <v>159</v>
      </c>
      <c r="C82" s="10" t="str">
        <f>IFERROR(INDEX(Universo_Activos!$A$3:$A$1022,MATCH(B82,Universo_Activos!$C$3:$C$1022,0)),"")</f>
        <v>Acciones Japon</v>
      </c>
      <c r="D82" s="10" t="str">
        <f>IFERROR(INDEX(Universo_Activos!$B$3:$B$1022,MATCH(B82,Universo_Activos!$C$3:$C$1022,0)),"")</f>
        <v>Tokyo Stock Exchange</v>
      </c>
      <c r="E82" s="10" t="str">
        <f>IFERROR(INDEX(Universo_Activos!$D$3:$D$1022,MATCH(B82,Universo_Activos!$C$3:$C$1022,0)),"")</f>
        <v>TSE:7203</v>
      </c>
      <c r="F82" s="10" t="str">
        <f>IFERROR(INDEX(Universo_Activos!$E$3:$E$1022,MATCH(B82,Universo_Activos!$C$3:$C$1022,0)),"")</f>
        <v>JP3633400001</v>
      </c>
      <c r="G82" s="11">
        <v>174.08</v>
      </c>
      <c r="H82" s="12">
        <v>0.0429</v>
      </c>
      <c r="I82" s="12">
        <v>-0.002</v>
      </c>
      <c r="J82" s="12">
        <v>-0.0755</v>
      </c>
      <c r="K82" s="12">
        <v>0.0495</v>
      </c>
      <c r="L82" s="12">
        <v>-0.0698</v>
      </c>
      <c r="M82" s="11">
        <v>741.35</v>
      </c>
      <c r="N82" s="11">
        <v>740.74</v>
      </c>
      <c r="O82" s="11">
        <v>737.8982810719934</v>
      </c>
      <c r="P82" s="11">
        <v>737.0353513399918</v>
      </c>
      <c r="Q82" s="11">
        <v>737.1216842494059</v>
      </c>
      <c r="R82" s="11">
        <v>736.6765983809223</v>
      </c>
      <c r="S82" s="11">
        <v>737.7850999480327</v>
      </c>
      <c r="T82" s="11">
        <v>737.6395938234625</v>
      </c>
      <c r="U82" s="11">
        <v>740.3422432807315</v>
      </c>
      <c r="V82" s="11">
        <v>740.3287163449024</v>
      </c>
      <c r="W82" s="7">
        <f t="shared" si="18"/>
      </c>
      <c r="X82" s="7">
        <f t="shared" si="19"/>
      </c>
      <c r="Y82" s="11">
        <v>741.35</v>
      </c>
      <c r="Z82" s="11">
        <v>737.34</v>
      </c>
      <c r="AA82" s="11">
        <v>737.9952301266765</v>
      </c>
      <c r="AB82" s="11">
        <v>737.1565376583455</v>
      </c>
      <c r="AC82" s="11">
        <v>738.6699000939569</v>
      </c>
      <c r="AD82" s="11">
        <v>738.3877843143734</v>
      </c>
      <c r="AE82" s="11">
        <v>741.0991958329633</v>
      </c>
      <c r="AF82" s="11">
        <v>741.0889589281863</v>
      </c>
      <c r="AG82" s="11">
        <v>744.5144985751518</v>
      </c>
      <c r="AH82" s="11">
        <v>744.5569750660935</v>
      </c>
      <c r="AI82" s="7">
        <f t="shared" si="20"/>
      </c>
      <c r="AJ82" s="7">
        <f t="shared" si="21"/>
      </c>
      <c r="AK82" s="7">
        <f>IF(W82&lt;&gt;"",IFERROR(INDEX(Niveles_Importancia!$A$3:$A$30,MATCH("Vela|"&amp;$E$5&amp;"|15 min",Niveles_Importancia!$H$3:$H$30,0)),"Sin clasificar"),IF(X82&lt;&gt;"",IFERROR(INDEX(Niveles_Importancia!$A$3:$A$30,MATCH($E$5&amp;"|"&amp;$E$6&amp;"|15 min",Niveles_Importancia!$H$3:$H$30,0)),"Sin clasificar"),IF(AI82&lt;&gt;"",IFERROR(INDEX(Niveles_Importancia!$A$3:$A$30,MATCH("Vela|"&amp;$E$5&amp;"|1 hora",Niveles_Importancia!$H$3:$H$30,0)),"Sin clasificar"),IF(AJ82&lt;&gt;"",IFERROR(INDEX(Niveles_Importancia!$A$3:$A$30,MATCH($E$5&amp;"|"&amp;$E$6&amp;"|1 hora",Niveles_Importancia!$H$3:$H$30,0)),"Sin clasificar"),""))))</f>
      </c>
      <c r="AL82" s="7">
        <f t="shared" si="22"/>
      </c>
      <c r="AM82" s="7">
        <f t="shared" si="23"/>
      </c>
    </row>
    <row r="83" spans="1:39" x14ac:dyDescent="0.25">
      <c r="A83" s="7">
        <v>72</v>
      </c>
      <c r="B83" s="8" t="s">
        <v>160</v>
      </c>
      <c r="C83" s="10" t="str">
        <f>IFERROR(INDEX(Universo_Activos!$A$3:$A$1022,MATCH(B83,Universo_Activos!$C$3:$C$1022,0)),"")</f>
        <v>Acciones Japon</v>
      </c>
      <c r="D83" s="10" t="str">
        <f>IFERROR(INDEX(Universo_Activos!$B$3:$B$1022,MATCH(B83,Universo_Activos!$C$3:$C$1022,0)),"")</f>
        <v>Tokyo Stock Exchange</v>
      </c>
      <c r="E83" s="10" t="str">
        <f>IFERROR(INDEX(Universo_Activos!$D$3:$D$1022,MATCH(B83,Universo_Activos!$C$3:$C$1022,0)),"")</f>
        <v>TSE:6758</v>
      </c>
      <c r="F83" s="10" t="str">
        <f>IFERROR(INDEX(Universo_Activos!$E$3:$E$1022,MATCH(B83,Universo_Activos!$C$3:$C$1022,0)),"")</f>
        <v>JP3435000009</v>
      </c>
      <c r="G83" s="11">
        <v>256.21</v>
      </c>
      <c r="H83" s="12">
        <v>0.0096</v>
      </c>
      <c r="I83" s="12">
        <v>-0.0301</v>
      </c>
      <c r="J83" s="12">
        <v>-0.019</v>
      </c>
      <c r="K83" s="12">
        <v>0.0552</v>
      </c>
      <c r="L83" s="12">
        <v>0.0641</v>
      </c>
      <c r="M83" s="11">
        <v>4064.3</v>
      </c>
      <c r="N83" s="11">
        <v>4064.1</v>
      </c>
      <c r="O83" s="11">
        <v>4048.1800533557953</v>
      </c>
      <c r="P83" s="11">
        <v>4044.150066694744</v>
      </c>
      <c r="Q83" s="11">
        <v>4034.4843155862477</v>
      </c>
      <c r="R83" s="11">
        <v>4031.3458224900633</v>
      </c>
      <c r="S83" s="11">
        <v>4028.2267063881523</v>
      </c>
      <c r="T83" s="11">
        <v>4026.7543270570563</v>
      </c>
      <c r="U83" s="11">
        <v>4035.212857466909</v>
      </c>
      <c r="V83" s="11">
        <v>4034.822426023512</v>
      </c>
      <c r="W83" s="7">
        <f t="shared" si="18"/>
      </c>
      <c r="X83" s="7">
        <f t="shared" si="19"/>
      </c>
      <c r="Y83" s="11">
        <v>4064.3</v>
      </c>
      <c r="Z83" s="11">
        <v>4041</v>
      </c>
      <c r="AA83" s="11">
        <v>4031.664940719321</v>
      </c>
      <c r="AB83" s="11">
        <v>4023.506175899151</v>
      </c>
      <c r="AC83" s="11">
        <v>4029.742348145646</v>
      </c>
      <c r="AD83" s="11">
        <v>4026.1047005820296</v>
      </c>
      <c r="AE83" s="11">
        <v>4039.1587375344293</v>
      </c>
      <c r="AF83" s="11">
        <v>4038.1325635562425</v>
      </c>
      <c r="AG83" s="11">
        <v>4054.6702462693756</v>
      </c>
      <c r="AH83" s="11">
        <v>4054.5409878300384</v>
      </c>
      <c r="AI83" s="7">
        <f t="shared" si="20"/>
      </c>
      <c r="AJ83" s="7" t="str">
        <f t="shared" si="21"/>
        <v>ALCISTA</v>
      </c>
      <c r="AK83" s="7">
        <f>IF(W83&lt;&gt;"",IFERROR(INDEX(Niveles_Importancia!$A$3:$A$30,MATCH("Vela|"&amp;$E$5&amp;"|15 min",Niveles_Importancia!$H$3:$H$30,0)),"Sin clasificar"),IF(X83&lt;&gt;"",IFERROR(INDEX(Niveles_Importancia!$A$3:$A$30,MATCH($E$5&amp;"|"&amp;$E$6&amp;"|15 min",Niveles_Importancia!$H$3:$H$30,0)),"Sin clasificar"),IF(AI83&lt;&gt;"",IFERROR(INDEX(Niveles_Importancia!$A$3:$A$30,MATCH("Vela|"&amp;$E$5&amp;"|1 hora",Niveles_Importancia!$H$3:$H$30,0)),"Sin clasificar"),IF(AJ83&lt;&gt;"",IFERROR(INDEX(Niveles_Importancia!$A$3:$A$30,MATCH($E$5&amp;"|"&amp;$E$6&amp;"|1 hora",Niveles_Importancia!$H$3:$H$30,0)),"Sin clasificar"),""))))</f>
        <v>1</v>
      </c>
      <c r="AL83" s="7" t="str">
        <f t="shared" si="22"/>
        <v>Cruce alcista detectado en Sony Group (Tokyo Stock Exchange). EMA 9 ha cruzado EMA 20 en 1 hora. Nivel: 1. 31/07/yyyy 20:15</v>
      </c>
      <c r="AM83" s="7" t="str">
        <f t="shared" si="23"/>
        <v>Sony Group|1h-MA1MA2|yyyy07312015</v>
      </c>
    </row>
    <row r="84" spans="1:39" x14ac:dyDescent="0.25">
      <c r="A84" s="7">
        <v>73</v>
      </c>
      <c r="B84" s="8" t="s">
        <v>161</v>
      </c>
      <c r="C84" s="10" t="str">
        <f>IFERROR(INDEX(Universo_Activos!$A$3:$A$1022,MATCH(B84,Universo_Activos!$C$3:$C$1022,0)),"")</f>
        <v>Acciones Japon</v>
      </c>
      <c r="D84" s="10" t="str">
        <f>IFERROR(INDEX(Universo_Activos!$B$3:$B$1022,MATCH(B84,Universo_Activos!$C$3:$C$1022,0)),"")</f>
        <v>Tokyo Stock Exchange</v>
      </c>
      <c r="E84" s="10" t="str">
        <f>IFERROR(INDEX(Universo_Activos!$D$3:$D$1022,MATCH(B84,Universo_Activos!$C$3:$C$1022,0)),"")</f>
        <v>TSE:6861</v>
      </c>
      <c r="F84" s="10" t="str">
        <f>IFERROR(INDEX(Universo_Activos!$E$3:$E$1022,MATCH(B84,Universo_Activos!$C$3:$C$1022,0)),"")</f>
        <v>JP3236200006</v>
      </c>
      <c r="G84" s="11">
        <v>146.67</v>
      </c>
      <c r="H84" s="12">
        <v>0.0096</v>
      </c>
      <c r="I84" s="12">
        <v>0.0679</v>
      </c>
      <c r="J84" s="12">
        <v>-0.0055</v>
      </c>
      <c r="K84" s="12">
        <v>0.0013</v>
      </c>
      <c r="L84" s="12">
        <v>0.014</v>
      </c>
      <c r="M84" s="11">
        <v>56.46</v>
      </c>
      <c r="N84" s="11">
        <v>56.18</v>
      </c>
      <c r="O84" s="11">
        <v>56.16140087413097</v>
      </c>
      <c r="P84" s="11">
        <v>56.08675109266371</v>
      </c>
      <c r="Q84" s="11">
        <v>56.056456538061624</v>
      </c>
      <c r="R84" s="11">
        <v>56.013978278910216</v>
      </c>
      <c r="S84" s="11">
        <v>56.00697452281864</v>
      </c>
      <c r="T84" s="11">
        <v>55.98848368701532</v>
      </c>
      <c r="U84" s="11">
        <v>55.55353203362553</v>
      </c>
      <c r="V84" s="11">
        <v>55.54136467837218</v>
      </c>
      <c r="W84" s="7">
        <f t="shared" ref="W84:W97" si="24">IF(AND(N84&lt;=P84,M84&gt;O84),"ALCISTA",IF(AND(N84&gt;=P84,M84&lt;O84),"BAJISTA",""))</f>
      </c>
      <c r="X84" s="7">
        <f t="shared" ref="X84:X97" si="25">IF(AND(P84&lt;=R84,O84&gt;Q84),"ALCISTA",IF(AND(P84&gt;=R84,O84&lt;Q84),"BAJISTA",""))</f>
      </c>
      <c r="Y84" s="11">
        <v>56.46</v>
      </c>
      <c r="Z84" s="11">
        <v>56.02</v>
      </c>
      <c r="AA84" s="11">
        <v>56.09682643901197</v>
      </c>
      <c r="AB84" s="11">
        <v>56.00603304876496</v>
      </c>
      <c r="AC84" s="11">
        <v>55.95711429721635</v>
      </c>
      <c r="AD84" s="11">
        <v>55.90417896008123</v>
      </c>
      <c r="AE84" s="11">
        <v>55.41281726710895</v>
      </c>
      <c r="AF84" s="11">
        <v>55.37007511474605</v>
      </c>
      <c r="AG84" s="11">
        <v>54.98329045590584</v>
      </c>
      <c r="AH84" s="11">
        <v>54.963468851287125</v>
      </c>
      <c r="AI84" s="7">
        <f t="shared" ref="AI84:AI97" si="26">IF(AND(Z84&lt;=AB84,Y84&gt;AA84),"ALCISTA",IF(AND(Z84&gt;=AB84,Y84&lt;AA84),"BAJISTA",""))</f>
      </c>
      <c r="AJ84" s="7">
        <f t="shared" ref="AJ84:AJ97" si="27">IF(AND(AB84&lt;=AD84,AA84&gt;AC84),"ALCISTA",IF(AND(AB84&gt;=AD84,AA84&lt;AC84),"BAJISTA",""))</f>
      </c>
      <c r="AK84" s="7">
        <f>IF(W84&lt;&gt;"",IFERROR(INDEX(Niveles_Importancia!$A$3:$A$30,MATCH("Vela|"&amp;$E$5&amp;"|15 min",Niveles_Importancia!$H$3:$H$30,0)),"Sin clasificar"),IF(X84&lt;&gt;"",IFERROR(INDEX(Niveles_Importancia!$A$3:$A$30,MATCH($E$5&amp;"|"&amp;$E$6&amp;"|15 min",Niveles_Importancia!$H$3:$H$30,0)),"Sin clasificar"),IF(AI84&lt;&gt;"",IFERROR(INDEX(Niveles_Importancia!$A$3:$A$30,MATCH("Vela|"&amp;$E$5&amp;"|1 hora",Niveles_Importancia!$H$3:$H$30,0)),"Sin clasificar"),IF(AJ84&lt;&gt;"",IFERROR(INDEX(Niveles_Importancia!$A$3:$A$30,MATCH($E$5&amp;"|"&amp;$E$6&amp;"|1 hora",Niveles_Importancia!$H$3:$H$30,0)),"Sin clasificar"),""))))</f>
      </c>
      <c r="AL84" s="7">
        <f t="shared" ref="AL84:AL97" si="28">IF(W84&lt;&gt;"","Cruce "&amp;LOWER(W84)&amp;" detectado en "&amp;B84&amp;" ("&amp;D84&amp;"). La vela ha cruzado "&amp;$E$5&amp;" en 15 min. Nivel: "&amp;AK84&amp;". Precio: "&amp;TEXT(M84,"0.00")&amp;". "&amp;TEXT(NOW(),"dd/mm/yyyy hh:mm"),IF(X84&lt;&gt;"","Cruce "&amp;LOWER(X84)&amp;" detectado en "&amp;B84&amp;" ("&amp;D84&amp;"). "&amp;$E$5&amp;" ha cruzado "&amp;$E$6&amp;" en 15 min. Nivel: "&amp;AK84&amp;". "&amp;TEXT(NOW(),"dd/mm/yyyy hh:mm"),IF(AI84&lt;&gt;"","Cruce "&amp;LOWER(AI84)&amp;" detectado en "&amp;B84&amp;" ("&amp;D84&amp;"). La vela ha cruzado "&amp;$E$5&amp;" en 1 hora. Nivel: "&amp;AK84&amp;". "&amp;TEXT(NOW(),"dd/mm/yyyy hh:mm"),IF(AJ84&lt;&gt;"","Cruce "&amp;LOWER(AJ84)&amp;" detectado en "&amp;B84&amp;" ("&amp;D84&amp;"). "&amp;$E$5&amp;" ha cruzado "&amp;$E$6&amp;" en 1 hora. Nivel: "&amp;AK84&amp;". "&amp;TEXT(NOW(),"dd/mm/yyyy hh:mm"),""))))</f>
      </c>
      <c r="AM84" s="7">
        <f t="shared" ref="AM84:AM97" si="29">IF(AL84="","",B84&amp;"|"&amp;IF(W84&lt;&gt;"","15min-VelaMA1",IF(X84&lt;&gt;"","15min-MA1MA2",IF(AI84&lt;&gt;"","1h-VelaMA1","1h-MA1MA2")))&amp;"|"&amp;TEXT(NOW(),"yyyymmddhhmm"))</f>
      </c>
    </row>
    <row r="85" spans="1:39" x14ac:dyDescent="0.25">
      <c r="A85" s="7">
        <v>74</v>
      </c>
      <c r="B85" s="8" t="s">
        <v>162</v>
      </c>
      <c r="C85" s="10" t="str">
        <f>IFERROR(INDEX(Universo_Activos!$A$3:$A$1022,MATCH(B85,Universo_Activos!$C$3:$C$1022,0)),"")</f>
        <v>Acciones Japon</v>
      </c>
      <c r="D85" s="10" t="str">
        <f>IFERROR(INDEX(Universo_Activos!$B$3:$B$1022,MATCH(B85,Universo_Activos!$C$3:$C$1022,0)),"")</f>
        <v>Tokyo Stock Exchange</v>
      </c>
      <c r="E85" s="10" t="str">
        <f>IFERROR(INDEX(Universo_Activos!$D$3:$D$1022,MATCH(B85,Universo_Activos!$C$3:$C$1022,0)),"")</f>
        <v>TSE:8306</v>
      </c>
      <c r="F85" s="10" t="str">
        <f>IFERROR(INDEX(Universo_Activos!$E$3:$E$1022,MATCH(B85,Universo_Activos!$C$3:$C$1022,0)),"")</f>
        <v>JP3496400007</v>
      </c>
      <c r="G85" s="11">
        <v>28.42</v>
      </c>
      <c r="H85" s="12">
        <v>-0.0058</v>
      </c>
      <c r="I85" s="12">
        <v>-0.0095</v>
      </c>
      <c r="J85" s="12">
        <v>0.0548</v>
      </c>
      <c r="K85" s="12">
        <v>0.0031</v>
      </c>
      <c r="L85" s="12">
        <v>0.0224</v>
      </c>
      <c r="M85" s="11">
        <v>20.61</v>
      </c>
      <c r="N85" s="11">
        <v>20.65</v>
      </c>
      <c r="O85" s="11">
        <v>20.717646491294744</v>
      </c>
      <c r="P85" s="11">
        <v>20.74455811411843</v>
      </c>
      <c r="Q85" s="11">
        <v>20.786213502448867</v>
      </c>
      <c r="R85" s="11">
        <v>20.804762292180328</v>
      </c>
      <c r="S85" s="11">
        <v>20.899640921051756</v>
      </c>
      <c r="T85" s="11">
        <v>20.91146299946203</v>
      </c>
      <c r="U85" s="11">
        <v>21.071022917009042</v>
      </c>
      <c r="V85" s="11">
        <v>21.077211144082987</v>
      </c>
      <c r="W85" s="7">
        <f t="shared" si="24"/>
      </c>
      <c r="X85" s="7">
        <f t="shared" si="25"/>
      </c>
      <c r="Y85" s="11">
        <v>20.61</v>
      </c>
      <c r="Z85" s="11">
        <v>20.67</v>
      </c>
      <c r="AA85" s="11">
        <v>20.81138726116584</v>
      </c>
      <c r="AB85" s="11">
        <v>20.861734076457303</v>
      </c>
      <c r="AC85" s="11">
        <v>20.943990701180706</v>
      </c>
      <c r="AD85" s="11">
        <v>20.979147617094466</v>
      </c>
      <c r="AE85" s="11">
        <v>21.076157742600703</v>
      </c>
      <c r="AF85" s="11">
        <v>21.095184589237466</v>
      </c>
      <c r="AG85" s="11">
        <v>21.130187906290544</v>
      </c>
      <c r="AH85" s="11">
        <v>21.137170294294442</v>
      </c>
      <c r="AI85" s="7">
        <f t="shared" si="26"/>
      </c>
      <c r="AJ85" s="7">
        <f t="shared" si="27"/>
      </c>
      <c r="AK85" s="7">
        <f>IF(W85&lt;&gt;"",IFERROR(INDEX(Niveles_Importancia!$A$3:$A$30,MATCH("Vela|"&amp;$E$5&amp;"|15 min",Niveles_Importancia!$H$3:$H$30,0)),"Sin clasificar"),IF(X85&lt;&gt;"",IFERROR(INDEX(Niveles_Importancia!$A$3:$A$30,MATCH($E$5&amp;"|"&amp;$E$6&amp;"|15 min",Niveles_Importancia!$H$3:$H$30,0)),"Sin clasificar"),IF(AI85&lt;&gt;"",IFERROR(INDEX(Niveles_Importancia!$A$3:$A$30,MATCH("Vela|"&amp;$E$5&amp;"|1 hora",Niveles_Importancia!$H$3:$H$30,0)),"Sin clasificar"),IF(AJ85&lt;&gt;"",IFERROR(INDEX(Niveles_Importancia!$A$3:$A$30,MATCH($E$5&amp;"|"&amp;$E$6&amp;"|1 hora",Niveles_Importancia!$H$3:$H$30,0)),"Sin clasificar"),""))))</f>
      </c>
      <c r="AL85" s="7">
        <f t="shared" si="28"/>
      </c>
      <c r="AM85" s="7">
        <f t="shared" si="29"/>
      </c>
    </row>
    <row r="86" spans="1:39" x14ac:dyDescent="0.25">
      <c r="A86" s="7">
        <v>75</v>
      </c>
      <c r="B86" s="8" t="s">
        <v>163</v>
      </c>
      <c r="C86" s="10" t="str">
        <f>IFERROR(INDEX(Universo_Activos!$A$3:$A$1022,MATCH(B86,Universo_Activos!$C$3:$C$1022,0)),"")</f>
        <v>Acciones Japon</v>
      </c>
      <c r="D86" s="10" t="str">
        <f>IFERROR(INDEX(Universo_Activos!$B$3:$B$1022,MATCH(B86,Universo_Activos!$C$3:$C$1022,0)),"")</f>
        <v>Tokyo Stock Exchange</v>
      </c>
      <c r="E86" s="10" t="str">
        <f>IFERROR(INDEX(Universo_Activos!$D$3:$D$1022,MATCH(B86,Universo_Activos!$C$3:$C$1022,0)),"")</f>
        <v>TSE:9984</v>
      </c>
      <c r="F86" s="10" t="str">
        <f>IFERROR(INDEX(Universo_Activos!$E$3:$E$1022,MATCH(B86,Universo_Activos!$C$3:$C$1022,0)),"")</f>
        <v>JP3436100006</v>
      </c>
      <c r="G86" s="11">
        <v>274.88</v>
      </c>
      <c r="H86" s="12">
        <v>-0.0048</v>
      </c>
      <c r="I86" s="12">
        <v>0.0769</v>
      </c>
      <c r="J86" s="12">
        <v>-0.0164</v>
      </c>
      <c r="K86" s="12">
        <v>-0.0683</v>
      </c>
      <c r="L86" s="12">
        <v>0.0207</v>
      </c>
      <c r="M86" s="11">
        <v>11.952</v>
      </c>
      <c r="N86" s="11">
        <v>11.934</v>
      </c>
      <c r="O86" s="11">
        <v>11.973288757524612</v>
      </c>
      <c r="P86" s="11">
        <v>11.978610946905764</v>
      </c>
      <c r="Q86" s="11">
        <v>11.998768446436754</v>
      </c>
      <c r="R86" s="11">
        <v>12.003691440798518</v>
      </c>
      <c r="S86" s="11">
        <v>12.059887722129899</v>
      </c>
      <c r="T86" s="11">
        <v>12.064291302624996</v>
      </c>
      <c r="U86" s="11">
        <v>12.072704963490407</v>
      </c>
      <c r="V86" s="11">
        <v>12.074325164342628</v>
      </c>
      <c r="W86" s="7">
        <f t="shared" si="24"/>
      </c>
      <c r="X86" s="7">
        <f t="shared" si="25"/>
      </c>
      <c r="Y86" s="11">
        <v>11.952</v>
      </c>
      <c r="Z86" s="11">
        <v>11.972</v>
      </c>
      <c r="AA86" s="11">
        <v>12.030948320273424</v>
      </c>
      <c r="AB86" s="11">
        <v>12.05068540034178</v>
      </c>
      <c r="AC86" s="11">
        <v>12.084820868085833</v>
      </c>
      <c r="AD86" s="11">
        <v>12.098802012094868</v>
      </c>
      <c r="AE86" s="11">
        <v>12.06435682198969</v>
      </c>
      <c r="AF86" s="11">
        <v>12.068942814723965</v>
      </c>
      <c r="AG86" s="11">
        <v>12.003302797184261</v>
      </c>
      <c r="AH86" s="11">
        <v>12.003991425334386</v>
      </c>
      <c r="AI86" s="7">
        <f t="shared" si="26"/>
      </c>
      <c r="AJ86" s="7">
        <f t="shared" si="27"/>
      </c>
      <c r="AK86" s="7">
        <f>IF(W86&lt;&gt;"",IFERROR(INDEX(Niveles_Importancia!$A$3:$A$30,MATCH("Vela|"&amp;$E$5&amp;"|15 min",Niveles_Importancia!$H$3:$H$30,0)),"Sin clasificar"),IF(X86&lt;&gt;"",IFERROR(INDEX(Niveles_Importancia!$A$3:$A$30,MATCH($E$5&amp;"|"&amp;$E$6&amp;"|15 min",Niveles_Importancia!$H$3:$H$30,0)),"Sin clasificar"),IF(AI86&lt;&gt;"",IFERROR(INDEX(Niveles_Importancia!$A$3:$A$30,MATCH("Vela|"&amp;$E$5&amp;"|1 hora",Niveles_Importancia!$H$3:$H$30,0)),"Sin clasificar"),IF(AJ86&lt;&gt;"",IFERROR(INDEX(Niveles_Importancia!$A$3:$A$30,MATCH($E$5&amp;"|"&amp;$E$6&amp;"|1 hora",Niveles_Importancia!$H$3:$H$30,0)),"Sin clasificar"),""))))</f>
      </c>
      <c r="AL86" s="7">
        <f t="shared" si="28"/>
      </c>
      <c r="AM86" s="7">
        <f t="shared" si="29"/>
      </c>
    </row>
    <row r="87" spans="1:39" x14ac:dyDescent="0.25">
      <c r="A87" s="7">
        <v>76</v>
      </c>
      <c r="B87" s="8" t="s">
        <v>164</v>
      </c>
      <c r="C87" s="10" t="str">
        <f>IFERROR(INDEX(Universo_Activos!$A$3:$A$1022,MATCH(B87,Universo_Activos!$C$3:$C$1022,0)),"")</f>
        <v>Acciones Japon</v>
      </c>
      <c r="D87" s="10" t="str">
        <f>IFERROR(INDEX(Universo_Activos!$B$3:$B$1022,MATCH(B87,Universo_Activos!$C$3:$C$1022,0)),"")</f>
        <v>Tokyo Stock Exchange</v>
      </c>
      <c r="E87" s="10" t="str">
        <f>IFERROR(INDEX(Universo_Activos!$D$3:$D$1022,MATCH(B87,Universo_Activos!$C$3:$C$1022,0)),"")</f>
        <v>TSE:7974</v>
      </c>
      <c r="F87" s="10" t="str">
        <f>IFERROR(INDEX(Universo_Activos!$E$3:$E$1022,MATCH(B87,Universo_Activos!$C$3:$C$1022,0)),"")</f>
        <v>JP3756600007</v>
      </c>
      <c r="G87" s="11">
        <v>79.6</v>
      </c>
      <c r="H87" s="12">
        <v>-0.0368</v>
      </c>
      <c r="I87" s="12">
        <v>0.0753</v>
      </c>
      <c r="J87" s="12">
        <v>0.0485</v>
      </c>
      <c r="K87" s="12">
        <v>-0.0313</v>
      </c>
      <c r="L87" s="12">
        <v>0.0616</v>
      </c>
      <c r="M87" s="11">
        <v>466.8</v>
      </c>
      <c r="N87" s="11">
        <v>468.15</v>
      </c>
      <c r="O87" s="11">
        <v>467.87043480433647</v>
      </c>
      <c r="P87" s="11">
        <v>468.13804350542057</v>
      </c>
      <c r="Q87" s="11">
        <v>468.8773328445699</v>
      </c>
      <c r="R87" s="11">
        <v>469.0959994597878</v>
      </c>
      <c r="S87" s="11">
        <v>468.3337786918833</v>
      </c>
      <c r="T87" s="11">
        <v>468.3963819037969</v>
      </c>
      <c r="U87" s="11">
        <v>467.74040097354373</v>
      </c>
      <c r="V87" s="11">
        <v>467.75302380540336</v>
      </c>
      <c r="W87" s="7" t="str">
        <f t="shared" si="24"/>
        <v>BAJISTA</v>
      </c>
      <c r="X87" s="7">
        <f t="shared" si="25"/>
      </c>
      <c r="Y87" s="11">
        <v>466.8</v>
      </c>
      <c r="Z87" s="11">
        <v>465.9</v>
      </c>
      <c r="AA87" s="11">
        <v>468.7005949804359</v>
      </c>
      <c r="AB87" s="11">
        <v>469.17574372554486</v>
      </c>
      <c r="AC87" s="11">
        <v>467.334548525836</v>
      </c>
      <c r="AD87" s="11">
        <v>467.39081679171346</v>
      </c>
      <c r="AE87" s="11">
        <v>468.12707401946045</v>
      </c>
      <c r="AF87" s="11">
        <v>468.181240305969</v>
      </c>
      <c r="AG87" s="11">
        <v>478.01633307994376</v>
      </c>
      <c r="AH87" s="11">
        <v>478.16688788638595</v>
      </c>
      <c r="AI87" s="7">
        <f t="shared" si="26"/>
      </c>
      <c r="AJ87" s="7">
        <f t="shared" si="27"/>
      </c>
      <c r="AK87" s="7" t="str">
        <f>IF(W87&lt;&gt;"",IFERROR(INDEX(Niveles_Importancia!$A$3:$A$30,MATCH("Vela|"&amp;$E$5&amp;"|15 min",Niveles_Importancia!$H$3:$H$30,0)),"Sin clasificar"),IF(X87&lt;&gt;"",IFERROR(INDEX(Niveles_Importancia!$A$3:$A$30,MATCH($E$5&amp;"|"&amp;$E$6&amp;"|15 min",Niveles_Importancia!$H$3:$H$30,0)),"Sin clasificar"),IF(AI87&lt;&gt;"",IFERROR(INDEX(Niveles_Importancia!$A$3:$A$30,MATCH("Vela|"&amp;$E$5&amp;"|1 hora",Niveles_Importancia!$H$3:$H$30,0)),"Sin clasificar"),IF(AJ87&lt;&gt;"",IFERROR(INDEX(Niveles_Importancia!$A$3:$A$30,MATCH($E$5&amp;"|"&amp;$E$6&amp;"|1 hora",Niveles_Importancia!$H$3:$H$30,0)),"Sin clasificar"),""))))</f>
        <v>Sin clasificar</v>
      </c>
      <c r="AL87" s="7" t="str">
        <f t="shared" si="28"/>
        <v>Cruce bajista detectado en Nintendo (Tokyo Stock Exchange). La vela ha cruzado EMA 9 en 15 min. Nivel: Sin clasificar. Precio: 467. 31/07/yyyy 20:15</v>
      </c>
      <c r="AM87" s="7" t="str">
        <f t="shared" si="29"/>
        <v>Nintendo|15min-VelaMA1|yyyy07312015</v>
      </c>
    </row>
    <row r="88" spans="1:39" x14ac:dyDescent="0.25">
      <c r="A88" s="7">
        <v>77</v>
      </c>
      <c r="B88" s="8" t="s">
        <v>165</v>
      </c>
      <c r="C88" s="10" t="str">
        <f>IFERROR(INDEX(Universo_Activos!$A$3:$A$1022,MATCH(B88,Universo_Activos!$C$3:$C$1022,0)),"")</f>
        <v>Acciones Europa</v>
      </c>
      <c r="D88" s="10" t="str">
        <f>IFERROR(INDEX(Universo_Activos!$B$3:$B$1022,MATCH(B88,Universo_Activos!$C$3:$C$1022,0)),"")</f>
        <v>London Stock Exchange</v>
      </c>
      <c r="E88" s="10" t="str">
        <f>IFERROR(INDEX(Universo_Activos!$D$3:$D$1022,MATCH(B88,Universo_Activos!$C$3:$C$1022,0)),"")</f>
        <v>LSE:AZN</v>
      </c>
      <c r="F88" s="10" t="str">
        <f>IFERROR(INDEX(Universo_Activos!$E$3:$E$1022,MATCH(B88,Universo_Activos!$C$3:$C$1022,0)),"")</f>
        <v>GB0009895292</v>
      </c>
      <c r="G88" s="11">
        <v>180.88</v>
      </c>
      <c r="H88" s="12">
        <v>0.0586</v>
      </c>
      <c r="I88" s="12">
        <v>-0.0507</v>
      </c>
      <c r="J88" s="12">
        <v>-0.0553</v>
      </c>
      <c r="K88" s="12">
        <v>0.0653</v>
      </c>
      <c r="L88" s="12">
        <v>0.0508</v>
      </c>
      <c r="M88" s="11">
        <v>162.8</v>
      </c>
      <c r="N88" s="11">
        <v>163.04</v>
      </c>
      <c r="O88" s="11">
        <v>162.02401094208562</v>
      </c>
      <c r="P88" s="11">
        <v>161.83001367760704</v>
      </c>
      <c r="Q88" s="11">
        <v>160.892501786353</v>
      </c>
      <c r="R88" s="11">
        <v>160.69171250070593</v>
      </c>
      <c r="S88" s="11">
        <v>158.419958926268</v>
      </c>
      <c r="T88" s="11">
        <v>158.24118173958507</v>
      </c>
      <c r="U88" s="11">
        <v>150.86605250777296</v>
      </c>
      <c r="V88" s="11">
        <v>150.7058652931122</v>
      </c>
      <c r="W88" s="7">
        <f t="shared" si="24"/>
      </c>
      <c r="X88" s="7">
        <f t="shared" si="25"/>
      </c>
      <c r="Y88" s="11">
        <v>162.8</v>
      </c>
      <c r="Z88" s="11">
        <v>162.5</v>
      </c>
      <c r="AA88" s="11">
        <v>160.2918874341871</v>
      </c>
      <c r="AB88" s="11">
        <v>159.66485929273387</v>
      </c>
      <c r="AC88" s="11">
        <v>156.64441495590808</v>
      </c>
      <c r="AD88" s="11">
        <v>155.99645863547735</v>
      </c>
      <c r="AE88" s="11">
        <v>149.14904812616723</v>
      </c>
      <c r="AF88" s="11">
        <v>148.5918664170312</v>
      </c>
      <c r="AG88" s="11">
        <v>142.1365475695528</v>
      </c>
      <c r="AH88" s="11">
        <v>141.8591857919629</v>
      </c>
      <c r="AI88" s="7">
        <f t="shared" si="26"/>
      </c>
      <c r="AJ88" s="7">
        <f t="shared" si="27"/>
      </c>
      <c r="AK88" s="7">
        <f>IF(W88&lt;&gt;"",IFERROR(INDEX(Niveles_Importancia!$A$3:$A$30,MATCH("Vela|"&amp;$E$5&amp;"|15 min",Niveles_Importancia!$H$3:$H$30,0)),"Sin clasificar"),IF(X88&lt;&gt;"",IFERROR(INDEX(Niveles_Importancia!$A$3:$A$30,MATCH($E$5&amp;"|"&amp;$E$6&amp;"|15 min",Niveles_Importancia!$H$3:$H$30,0)),"Sin clasificar"),IF(AI88&lt;&gt;"",IFERROR(INDEX(Niveles_Importancia!$A$3:$A$30,MATCH("Vela|"&amp;$E$5&amp;"|1 hora",Niveles_Importancia!$H$3:$H$30,0)),"Sin clasificar"),IF(AJ88&lt;&gt;"",IFERROR(INDEX(Niveles_Importancia!$A$3:$A$30,MATCH($E$5&amp;"|"&amp;$E$6&amp;"|1 hora",Niveles_Importancia!$H$3:$H$30,0)),"Sin clasificar"),""))))</f>
      </c>
      <c r="AL88" s="7">
        <f t="shared" si="28"/>
      </c>
      <c r="AM88" s="7">
        <f t="shared" si="29"/>
      </c>
    </row>
    <row r="89" spans="1:39" x14ac:dyDescent="0.25">
      <c r="A89" s="7">
        <v>78</v>
      </c>
      <c r="B89" s="8" t="s">
        <v>166</v>
      </c>
      <c r="C89" s="10" t="str">
        <f>IFERROR(INDEX(Universo_Activos!$A$3:$A$1022,MATCH(B89,Universo_Activos!$C$3:$C$1022,0)),"")</f>
        <v>Acciones Europa</v>
      </c>
      <c r="D89" s="10" t="str">
        <f>IFERROR(INDEX(Universo_Activos!$B$3:$B$1022,MATCH(B89,Universo_Activos!$C$3:$C$1022,0)),"")</f>
        <v>London Stock Exchange</v>
      </c>
      <c r="E89" s="10" t="str">
        <f>IFERROR(INDEX(Universo_Activos!$D$3:$D$1022,MATCH(B89,Universo_Activos!$C$3:$C$1022,0)),"")</f>
        <v>LSE:SHEL</v>
      </c>
      <c r="F89" s="10" t="str">
        <f>IFERROR(INDEX(Universo_Activos!$E$3:$E$1022,MATCH(B89,Universo_Activos!$C$3:$C$1022,0)),"")</f>
        <v>GB00BP6MXD84</v>
      </c>
      <c r="G89" s="11">
        <v>39.26</v>
      </c>
      <c r="H89" s="12">
        <v>-0.0435</v>
      </c>
      <c r="I89" s="12">
        <v>0.0095</v>
      </c>
      <c r="J89" s="12">
        <v>0.0564</v>
      </c>
      <c r="K89" s="12">
        <v>0.0183</v>
      </c>
      <c r="L89" s="12">
        <v>-0.0352</v>
      </c>
      <c r="M89" s="11">
        <v>343.495</v>
      </c>
      <c r="N89" s="11">
        <v>343.695</v>
      </c>
      <c r="O89" s="11">
        <v>342.96764759805137</v>
      </c>
      <c r="P89" s="11">
        <v>342.8358094975642</v>
      </c>
      <c r="Q89" s="11">
        <v>342.0359993644087</v>
      </c>
      <c r="R89" s="11">
        <v>341.88242035013593</v>
      </c>
      <c r="S89" s="11">
        <v>340.0608759765768</v>
      </c>
      <c r="T89" s="11">
        <v>339.92070764909016</v>
      </c>
      <c r="U89" s="11">
        <v>334.8318524240292</v>
      </c>
      <c r="V89" s="11">
        <v>334.71556856394903</v>
      </c>
      <c r="W89" s="7">
        <f t="shared" si="24"/>
      </c>
      <c r="X89" s="7">
        <f t="shared" si="25"/>
      </c>
      <c r="Y89" s="11">
        <v>343.495</v>
      </c>
      <c r="Z89" s="11">
        <v>343.6</v>
      </c>
      <c r="AA89" s="11">
        <v>341.4473227361075</v>
      </c>
      <c r="AB89" s="11">
        <v>340.9354034201344</v>
      </c>
      <c r="AC89" s="11">
        <v>338.75188286580726</v>
      </c>
      <c r="AD89" s="11">
        <v>338.2526073779975</v>
      </c>
      <c r="AE89" s="11">
        <v>333.45537903042117</v>
      </c>
      <c r="AF89" s="11">
        <v>333.0455985826833</v>
      </c>
      <c r="AG89" s="11">
        <v>322.498394525683</v>
      </c>
      <c r="AH89" s="11">
        <v>322.2165608951553</v>
      </c>
      <c r="AI89" s="7">
        <f t="shared" si="26"/>
      </c>
      <c r="AJ89" s="7">
        <f t="shared" si="27"/>
      </c>
      <c r="AK89" s="7">
        <f>IF(W89&lt;&gt;"",IFERROR(INDEX(Niveles_Importancia!$A$3:$A$30,MATCH("Vela|"&amp;$E$5&amp;"|15 min",Niveles_Importancia!$H$3:$H$30,0)),"Sin clasificar"),IF(X89&lt;&gt;"",IFERROR(INDEX(Niveles_Importancia!$A$3:$A$30,MATCH($E$5&amp;"|"&amp;$E$6&amp;"|15 min",Niveles_Importancia!$H$3:$H$30,0)),"Sin clasificar"),IF(AI89&lt;&gt;"",IFERROR(INDEX(Niveles_Importancia!$A$3:$A$30,MATCH("Vela|"&amp;$E$5&amp;"|1 hora",Niveles_Importancia!$H$3:$H$30,0)),"Sin clasificar"),IF(AJ89&lt;&gt;"",IFERROR(INDEX(Niveles_Importancia!$A$3:$A$30,MATCH($E$5&amp;"|"&amp;$E$6&amp;"|1 hora",Niveles_Importancia!$H$3:$H$30,0)),"Sin clasificar"),""))))</f>
      </c>
      <c r="AL89" s="7">
        <f t="shared" si="28"/>
      </c>
      <c r="AM89" s="7">
        <f t="shared" si="29"/>
      </c>
    </row>
    <row r="90" spans="1:39" x14ac:dyDescent="0.25">
      <c r="A90" s="7">
        <v>79</v>
      </c>
      <c r="B90" s="8" t="s">
        <v>167</v>
      </c>
      <c r="C90" s="10" t="str">
        <f>IFERROR(INDEX(Universo_Activos!$A$3:$A$1022,MATCH(B90,Universo_Activos!$C$3:$C$1022,0)),"")</f>
        <v>Acciones Europa</v>
      </c>
      <c r="D90" s="10" t="str">
        <f>IFERROR(INDEX(Universo_Activos!$B$3:$B$1022,MATCH(B90,Universo_Activos!$C$3:$C$1022,0)),"")</f>
        <v>London Stock Exchange</v>
      </c>
      <c r="E90" s="10" t="str">
        <f>IFERROR(INDEX(Universo_Activos!$D$3:$D$1022,MATCH(B90,Universo_Activos!$C$3:$C$1022,0)),"")</f>
        <v>LSE:HSBA</v>
      </c>
      <c r="F90" s="10" t="str">
        <f>IFERROR(INDEX(Universo_Activos!$E$3:$E$1022,MATCH(B90,Universo_Activos!$C$3:$C$1022,0)),"")</f>
        <v>GB0005405286</v>
      </c>
      <c r="G90" s="11">
        <v>216.27</v>
      </c>
      <c r="H90" s="12">
        <v>0.074</v>
      </c>
      <c r="I90" s="12">
        <v>-0.0766</v>
      </c>
      <c r="J90" s="12">
        <v>0.0218</v>
      </c>
      <c r="K90" s="12">
        <v>-0.0028</v>
      </c>
      <c r="L90" s="12">
        <v>0.0369</v>
      </c>
      <c r="M90" s="11">
        <v>400.45</v>
      </c>
      <c r="N90" s="11">
        <v>399.15</v>
      </c>
      <c r="O90" s="11">
        <v>397.72969630686225</v>
      </c>
      <c r="P90" s="11">
        <v>397.0496203835778</v>
      </c>
      <c r="Q90" s="11">
        <v>396.42652133961946</v>
      </c>
      <c r="R90" s="11">
        <v>396.0029972701057</v>
      </c>
      <c r="S90" s="11">
        <v>394.952058511691</v>
      </c>
      <c r="T90" s="11">
        <v>394.727652736658</v>
      </c>
      <c r="U90" s="11">
        <v>392.45661674979596</v>
      </c>
      <c r="V90" s="11">
        <v>392.3493230148939</v>
      </c>
      <c r="W90" s="7">
        <f t="shared" si="24"/>
      </c>
      <c r="X90" s="7">
        <f t="shared" si="25"/>
      </c>
      <c r="Y90" s="11">
        <v>400.45</v>
      </c>
      <c r="Z90" s="11">
        <v>398.7</v>
      </c>
      <c r="AA90" s="11">
        <v>396.5568956057862</v>
      </c>
      <c r="AB90" s="11">
        <v>395.58361950723275</v>
      </c>
      <c r="AC90" s="11">
        <v>394.32573068591864</v>
      </c>
      <c r="AD90" s="11">
        <v>393.6810707581206</v>
      </c>
      <c r="AE90" s="11">
        <v>392.3074205354215</v>
      </c>
      <c r="AF90" s="11">
        <v>391.9750703531938</v>
      </c>
      <c r="AG90" s="11">
        <v>392.1834445401125</v>
      </c>
      <c r="AH90" s="11">
        <v>392.07248406414084</v>
      </c>
      <c r="AI90" s="7">
        <f t="shared" si="26"/>
      </c>
      <c r="AJ90" s="7">
        <f t="shared" si="27"/>
      </c>
      <c r="AK90" s="7">
        <f>IF(W90&lt;&gt;"",IFERROR(INDEX(Niveles_Importancia!$A$3:$A$30,MATCH("Vela|"&amp;$E$5&amp;"|15 min",Niveles_Importancia!$H$3:$H$30,0)),"Sin clasificar"),IF(X90&lt;&gt;"",IFERROR(INDEX(Niveles_Importancia!$A$3:$A$30,MATCH($E$5&amp;"|"&amp;$E$6&amp;"|15 min",Niveles_Importancia!$H$3:$H$30,0)),"Sin clasificar"),IF(AI90&lt;&gt;"",IFERROR(INDEX(Niveles_Importancia!$A$3:$A$30,MATCH("Vela|"&amp;$E$5&amp;"|1 hora",Niveles_Importancia!$H$3:$H$30,0)),"Sin clasificar"),IF(AJ90&lt;&gt;"",IFERROR(INDEX(Niveles_Importancia!$A$3:$A$30,MATCH($E$5&amp;"|"&amp;$E$6&amp;"|1 hora",Niveles_Importancia!$H$3:$H$30,0)),"Sin clasificar"),""))))</f>
      </c>
      <c r="AL90" s="7">
        <f t="shared" si="28"/>
      </c>
      <c r="AM90" s="7">
        <f t="shared" si="29"/>
      </c>
    </row>
    <row r="91" spans="1:39" x14ac:dyDescent="0.25">
      <c r="A91" s="7">
        <v>80</v>
      </c>
      <c r="B91" s="8" t="s">
        <v>168</v>
      </c>
      <c r="C91" s="10" t="str">
        <f>IFERROR(INDEX(Universo_Activos!$A$3:$A$1022,MATCH(B91,Universo_Activos!$C$3:$C$1022,0)),"")</f>
        <v>Acciones Europa</v>
      </c>
      <c r="D91" s="10" t="str">
        <f>IFERROR(INDEX(Universo_Activos!$B$3:$B$1022,MATCH(B91,Universo_Activos!$C$3:$C$1022,0)),"")</f>
        <v>London Stock Exchange</v>
      </c>
      <c r="E91" s="10" t="str">
        <f>IFERROR(INDEX(Universo_Activos!$D$3:$D$1022,MATCH(B91,Universo_Activos!$C$3:$C$1022,0)),"")</f>
        <v>LSE:ULVR</v>
      </c>
      <c r="F91" s="10" t="str">
        <f>IFERROR(INDEX(Universo_Activos!$E$3:$E$1022,MATCH(B91,Universo_Activos!$C$3:$C$1022,0)),"")</f>
        <v>GB00B10RZP78</v>
      </c>
      <c r="G91" s="11">
        <v>183.15</v>
      </c>
      <c r="H91" s="12">
        <v>0.0174</v>
      </c>
      <c r="I91" s="12">
        <v>-0.0672</v>
      </c>
      <c r="J91" s="12">
        <v>0.0223</v>
      </c>
      <c r="K91" s="12">
        <v>0.0789</v>
      </c>
      <c r="L91" s="12">
        <v>0.0608</v>
      </c>
      <c r="M91" s="11">
        <v>304.96</v>
      </c>
      <c r="N91" s="11">
        <v>304.4</v>
      </c>
      <c r="O91" s="11">
        <v>303.47206143357977</v>
      </c>
      <c r="P91" s="11">
        <v>303.10007679197474</v>
      </c>
      <c r="Q91" s="11">
        <v>303.4582416293195</v>
      </c>
      <c r="R91" s="11">
        <v>303.3001618008268</v>
      </c>
      <c r="S91" s="11">
        <v>305.28698458337374</v>
      </c>
      <c r="T91" s="11">
        <v>305.3003308928992</v>
      </c>
      <c r="U91" s="11">
        <v>321.7337749041128</v>
      </c>
      <c r="V91" s="11">
        <v>321.9589262451076</v>
      </c>
      <c r="W91" s="7">
        <f t="shared" si="24"/>
      </c>
      <c r="X91" s="7" t="str">
        <f t="shared" si="25"/>
        <v>ALCISTA</v>
      </c>
      <c r="Y91" s="11">
        <v>304.96</v>
      </c>
      <c r="Z91" s="11">
        <v>302.62</v>
      </c>
      <c r="AA91" s="11">
        <v>304.1534957759352</v>
      </c>
      <c r="AB91" s="11">
        <v>303.951869719919</v>
      </c>
      <c r="AC91" s="11">
        <v>308.2165465268921</v>
      </c>
      <c r="AD91" s="11">
        <v>308.5593408981439</v>
      </c>
      <c r="AE91" s="11">
        <v>327.44218938018787</v>
      </c>
      <c r="AF91" s="11">
        <v>328.3598297630527</v>
      </c>
      <c r="AG91" s="11">
        <v>363.4163646519249</v>
      </c>
      <c r="AH91" s="11">
        <v>364.2010138418836</v>
      </c>
      <c r="AI91" s="7" t="str">
        <f t="shared" si="26"/>
        <v>ALCISTA</v>
      </c>
      <c r="AJ91" s="7">
        <f t="shared" si="27"/>
      </c>
      <c r="AK91" s="7">
        <f>IF(W91&lt;&gt;"",IFERROR(INDEX(Niveles_Importancia!$A$3:$A$30,MATCH("Vela|"&amp;$E$5&amp;"|15 min",Niveles_Importancia!$H$3:$H$30,0)),"Sin clasificar"),IF(X91&lt;&gt;"",IFERROR(INDEX(Niveles_Importancia!$A$3:$A$30,MATCH($E$5&amp;"|"&amp;$E$6&amp;"|15 min",Niveles_Importancia!$H$3:$H$30,0)),"Sin clasificar"),IF(AI91&lt;&gt;"",IFERROR(INDEX(Niveles_Importancia!$A$3:$A$30,MATCH("Vela|"&amp;$E$5&amp;"|1 hora",Niveles_Importancia!$H$3:$H$30,0)),"Sin clasificar"),IF(AJ91&lt;&gt;"",IFERROR(INDEX(Niveles_Importancia!$A$3:$A$30,MATCH($E$5&amp;"|"&amp;$E$6&amp;"|1 hora",Niveles_Importancia!$H$3:$H$30,0)),"Sin clasificar"),""))))</f>
        <v>1</v>
      </c>
      <c r="AL91" s="7" t="str">
        <f t="shared" si="28"/>
        <v>Cruce alcista detectado en Unilever (London Stock Exchange). EMA 9 ha cruzado EMA 20 en 15 min. Nivel: 1. 31/07/yyyy 20:15</v>
      </c>
      <c r="AM91" s="7" t="str">
        <f t="shared" si="29"/>
        <v>Unilever|15min-MA1MA2|yyyy07312015</v>
      </c>
    </row>
    <row r="92" spans="1:39" x14ac:dyDescent="0.25">
      <c r="A92" s="7">
        <v>81</v>
      </c>
      <c r="B92" s="8" t="s">
        <v>169</v>
      </c>
      <c r="C92" s="10" t="str">
        <f>IFERROR(INDEX(Universo_Activos!$A$3:$A$1022,MATCH(B92,Universo_Activos!$C$3:$C$1022,0)),"")</f>
        <v>Acciones Europa</v>
      </c>
      <c r="D92" s="10" t="str">
        <f>IFERROR(INDEX(Universo_Activos!$B$3:$B$1022,MATCH(B92,Universo_Activos!$C$3:$C$1022,0)),"")</f>
        <v>London Stock Exchange</v>
      </c>
      <c r="E92" s="10" t="str">
        <f>IFERROR(INDEX(Universo_Activos!$D$3:$D$1022,MATCH(B92,Universo_Activos!$C$3:$C$1022,0)),"")</f>
        <v>LSE:BP</v>
      </c>
      <c r="F92" s="10" t="str">
        <f>IFERROR(INDEX(Universo_Activos!$E$3:$E$1022,MATCH(B92,Universo_Activos!$C$3:$C$1022,0)),"")</f>
        <v>GB0007980591</v>
      </c>
      <c r="G92" s="11">
        <v>76.72</v>
      </c>
      <c r="H92" s="12">
        <v>-0.0529</v>
      </c>
      <c r="I92" s="12">
        <v>0.0649</v>
      </c>
      <c r="J92" s="12">
        <v>0.0256</v>
      </c>
      <c r="K92" s="12">
        <v>-0.0093</v>
      </c>
      <c r="L92" s="12">
        <v>0.0627</v>
      </c>
      <c r="M92" s="11">
        <v>1.13972</v>
      </c>
      <c r="N92" s="11">
        <v>1.14003</v>
      </c>
      <c r="O92" s="11">
        <v>1.139576466067868</v>
      </c>
      <c r="P92" s="11">
        <v>1.139540582584835</v>
      </c>
      <c r="Q92" s="11">
        <v>1.138596475449015</v>
      </c>
      <c r="R92" s="11">
        <v>1.1384841229939164</v>
      </c>
      <c r="S92" s="11">
        <v>1.1377499368624893</v>
      </c>
      <c r="T92" s="11">
        <v>1.1376695261221828</v>
      </c>
      <c r="U92" s="11">
        <v>1.1376783575413316</v>
      </c>
      <c r="V92" s="11">
        <v>1.137650952944571</v>
      </c>
      <c r="W92" s="7">
        <f t="shared" si="24"/>
      </c>
      <c r="X92" s="7">
        <f t="shared" si="25"/>
      </c>
      <c r="Y92" s="11">
        <v>1.13972</v>
      </c>
      <c r="Z92" s="11">
        <v>1.14003</v>
      </c>
      <c r="AA92" s="11">
        <v>1.1380810317652519</v>
      </c>
      <c r="AB92" s="11">
        <v>1.1376712897065648</v>
      </c>
      <c r="AC92" s="11">
        <v>1.1376433367389955</v>
      </c>
      <c r="AD92" s="11">
        <v>1.1374356704128952</v>
      </c>
      <c r="AE92" s="11">
        <v>1.1379489876466264</v>
      </c>
      <c r="AF92" s="11">
        <v>1.1378767014281215</v>
      </c>
      <c r="AG92" s="11">
        <v>1.1393512960439711</v>
      </c>
      <c r="AH92" s="11">
        <v>1.1393463469975815</v>
      </c>
      <c r="AI92" s="7">
        <f t="shared" si="26"/>
      </c>
      <c r="AJ92" s="7">
        <f t="shared" si="27"/>
      </c>
      <c r="AK92" s="7">
        <f>IF(W92&lt;&gt;"",IFERROR(INDEX(Niveles_Importancia!$A$3:$A$30,MATCH("Vela|"&amp;$E$5&amp;"|15 min",Niveles_Importancia!$H$3:$H$30,0)),"Sin clasificar"),IF(X92&lt;&gt;"",IFERROR(INDEX(Niveles_Importancia!$A$3:$A$30,MATCH($E$5&amp;"|"&amp;$E$6&amp;"|15 min",Niveles_Importancia!$H$3:$H$30,0)),"Sin clasificar"),IF(AI92&lt;&gt;"",IFERROR(INDEX(Niveles_Importancia!$A$3:$A$30,MATCH("Vela|"&amp;$E$5&amp;"|1 hora",Niveles_Importancia!$H$3:$H$30,0)),"Sin clasificar"),IF(AJ92&lt;&gt;"",IFERROR(INDEX(Niveles_Importancia!$A$3:$A$30,MATCH($E$5&amp;"|"&amp;$E$6&amp;"|1 hora",Niveles_Importancia!$H$3:$H$30,0)),"Sin clasificar"),""))))</f>
      </c>
      <c r="AL92" s="7">
        <f t="shared" si="28"/>
      </c>
      <c r="AM92" s="7">
        <f t="shared" si="29"/>
      </c>
    </row>
    <row r="93" spans="1:39" x14ac:dyDescent="0.25">
      <c r="A93" s="7">
        <v>82</v>
      </c>
      <c r="B93" s="8" t="s">
        <v>170</v>
      </c>
      <c r="C93" s="10" t="str">
        <f>IFERROR(INDEX(Universo_Activos!$A$3:$A$1022,MATCH(B93,Universo_Activos!$C$3:$C$1022,0)),"")</f>
        <v>Acciones Europa</v>
      </c>
      <c r="D93" s="10" t="str">
        <f>IFERROR(INDEX(Universo_Activos!$B$3:$B$1022,MATCH(B93,Universo_Activos!$C$3:$C$1022,0)),"")</f>
        <v>London Stock Exchange</v>
      </c>
      <c r="E93" s="10" t="str">
        <f>IFERROR(INDEX(Universo_Activos!$D$3:$D$1022,MATCH(B93,Universo_Activos!$C$3:$C$1022,0)),"")</f>
        <v>LSE:RIO</v>
      </c>
      <c r="F93" s="10" t="str">
        <f>IFERROR(INDEX(Universo_Activos!$E$3:$E$1022,MATCH(B93,Universo_Activos!$C$3:$C$1022,0)),"")</f>
        <v>GB0007188757</v>
      </c>
      <c r="G93" s="11">
        <v>79.94</v>
      </c>
      <c r="H93" s="12">
        <v>-0.0138</v>
      </c>
      <c r="I93" s="12">
        <v>0.0201</v>
      </c>
      <c r="J93" s="12">
        <v>-0.001</v>
      </c>
      <c r="K93" s="12">
        <v>-0.0295</v>
      </c>
      <c r="L93" s="12">
        <v>0.0543</v>
      </c>
      <c r="M93" s="11">
        <v>1.33017</v>
      </c>
      <c r="N93" s="11">
        <v>1.33047</v>
      </c>
      <c r="O93" s="11">
        <v>1.3303390642082802</v>
      </c>
      <c r="P93" s="11">
        <v>1.3303813302603502</v>
      </c>
      <c r="Q93" s="11">
        <v>1.3299116369990274</v>
      </c>
      <c r="R93" s="11">
        <v>1.32988580069893</v>
      </c>
      <c r="S93" s="11">
        <v>1.329581888143273</v>
      </c>
      <c r="T93" s="11">
        <v>1.3295578835776924</v>
      </c>
      <c r="U93" s="11">
        <v>1.330210190603126</v>
      </c>
      <c r="V93" s="11">
        <v>1.330210730074309</v>
      </c>
      <c r="W93" s="7" t="str">
        <f t="shared" si="24"/>
        <v>BAJISTA</v>
      </c>
      <c r="X93" s="7">
        <f t="shared" si="25"/>
      </c>
      <c r="Y93" s="11">
        <v>1.33017</v>
      </c>
      <c r="Z93" s="11">
        <v>1.3309199999999999</v>
      </c>
      <c r="AA93" s="11">
        <v>1.3296584187379816</v>
      </c>
      <c r="AB93" s="11">
        <v>1.329530523422477</v>
      </c>
      <c r="AC93" s="11">
        <v>1.3297158070519384</v>
      </c>
      <c r="AD93" s="11">
        <v>1.329670387757132</v>
      </c>
      <c r="AE93" s="11">
        <v>1.3308628345028086</v>
      </c>
      <c r="AF93" s="11">
        <v>1.3308911134621069</v>
      </c>
      <c r="AG93" s="11">
        <v>1.3345566142624254</v>
      </c>
      <c r="AH93" s="11">
        <v>1.3346154949907802</v>
      </c>
      <c r="AI93" s="7">
        <f t="shared" si="26"/>
      </c>
      <c r="AJ93" s="7">
        <f t="shared" si="27"/>
      </c>
      <c r="AK93" s="7" t="str">
        <f>IF(W93&lt;&gt;"",IFERROR(INDEX(Niveles_Importancia!$A$3:$A$30,MATCH("Vela|"&amp;$E$5&amp;"|15 min",Niveles_Importancia!$H$3:$H$30,0)),"Sin clasificar"),IF(X93&lt;&gt;"",IFERROR(INDEX(Niveles_Importancia!$A$3:$A$30,MATCH($E$5&amp;"|"&amp;$E$6&amp;"|15 min",Niveles_Importancia!$H$3:$H$30,0)),"Sin clasificar"),IF(AI93&lt;&gt;"",IFERROR(INDEX(Niveles_Importancia!$A$3:$A$30,MATCH("Vela|"&amp;$E$5&amp;"|1 hora",Niveles_Importancia!$H$3:$H$30,0)),"Sin clasificar"),IF(AJ93&lt;&gt;"",IFERROR(INDEX(Niveles_Importancia!$A$3:$A$30,MATCH($E$5&amp;"|"&amp;$E$6&amp;"|1 hora",Niveles_Importancia!$H$3:$H$30,0)),"Sin clasificar"),""))))</f>
        <v>Sin clasificar</v>
      </c>
      <c r="AL93" s="7" t="str">
        <f t="shared" si="28"/>
        <v>Cruce bajista detectado en Rio Tinto (London Stock Exchange). La vela ha cruzado EMA 9 en 15 min. Nivel: Sin clasificar. Precio: 001. 31/07/yyyy 20:15</v>
      </c>
      <c r="AM93" s="7" t="str">
        <f t="shared" si="29"/>
        <v>Rio Tinto|15min-VelaMA1|yyyy07312015</v>
      </c>
    </row>
    <row r="94" spans="1:39" x14ac:dyDescent="0.25">
      <c r="A94" s="7">
        <v>83</v>
      </c>
      <c r="B94" s="8" t="s">
        <v>171</v>
      </c>
      <c r="C94" s="10" t="str">
        <f>IFERROR(INDEX(Universo_Activos!$A$3:$A$1022,MATCH(B94,Universo_Activos!$C$3:$C$1022,0)),"")</f>
        <v>Acciones Europa</v>
      </c>
      <c r="D94" s="10" t="str">
        <f>IFERROR(INDEX(Universo_Activos!$B$3:$B$1022,MATCH(B94,Universo_Activos!$C$3:$C$1022,0)),"")</f>
        <v>London Stock Exchange</v>
      </c>
      <c r="E94" s="10" t="str">
        <f>IFERROR(INDEX(Universo_Activos!$D$3:$D$1022,MATCH(B94,Universo_Activos!$C$3:$C$1022,0)),"")</f>
        <v>LSE:VOD</v>
      </c>
      <c r="F94" s="10" t="str">
        <f>IFERROR(INDEX(Universo_Activos!$E$3:$E$1022,MATCH(B94,Universo_Activos!$C$3:$C$1022,0)),"")</f>
        <v>GB00BH4HKS39</v>
      </c>
      <c r="G94" s="11">
        <v>196.39</v>
      </c>
      <c r="H94" s="12">
        <v>0.0248</v>
      </c>
      <c r="I94" s="12">
        <v>0.0492</v>
      </c>
      <c r="J94" s="12">
        <v>0.0734</v>
      </c>
      <c r="K94" s="12">
        <v>0.0295</v>
      </c>
      <c r="L94" s="12">
        <v>-0.0481</v>
      </c>
      <c r="M94" s="11">
        <v>64350.72</v>
      </c>
      <c r="N94" s="11">
        <v>64322.01</v>
      </c>
      <c r="O94" s="11">
        <v>64110.176715052105</v>
      </c>
      <c r="P94" s="11">
        <v>64050.04089381513</v>
      </c>
      <c r="Q94" s="11">
        <v>64070.172881340935</v>
      </c>
      <c r="R94" s="11">
        <v>64040.64160569261</v>
      </c>
      <c r="S94" s="11">
        <v>64092.445889691815</v>
      </c>
      <c r="T94" s="11">
        <v>64081.90408927108</v>
      </c>
      <c r="U94" s="11">
        <v>64074.104651002024</v>
      </c>
      <c r="V94" s="11">
        <v>64070.39169329735</v>
      </c>
      <c r="W94" s="7">
        <f t="shared" si="24"/>
      </c>
      <c r="X94" s="7">
        <f t="shared" si="25"/>
      </c>
      <c r="Y94" s="11">
        <v>64350.72</v>
      </c>
      <c r="Z94" s="11">
        <v>64189.4</v>
      </c>
      <c r="AA94" s="11">
        <v>64159.84368011483</v>
      </c>
      <c r="AB94" s="11">
        <v>64112.124600143536</v>
      </c>
      <c r="AC94" s="11">
        <v>64101.96952934672</v>
      </c>
      <c r="AD94" s="11">
        <v>64075.785269277956</v>
      </c>
      <c r="AE94" s="11">
        <v>64084.196062164505</v>
      </c>
      <c r="AF94" s="11">
        <v>64073.31753408958</v>
      </c>
      <c r="AG94" s="11">
        <v>64333.88963898166</v>
      </c>
      <c r="AH94" s="11">
        <v>64333.663728095504</v>
      </c>
      <c r="AI94" s="7">
        <f t="shared" si="26"/>
      </c>
      <c r="AJ94" s="7">
        <f t="shared" si="27"/>
      </c>
      <c r="AK94" s="7">
        <f>IF(W94&lt;&gt;"",IFERROR(INDEX(Niveles_Importancia!$A$3:$A$30,MATCH("Vela|"&amp;$E$5&amp;"|15 min",Niveles_Importancia!$H$3:$H$30,0)),"Sin clasificar"),IF(X94&lt;&gt;"",IFERROR(INDEX(Niveles_Importancia!$A$3:$A$30,MATCH($E$5&amp;"|"&amp;$E$6&amp;"|15 min",Niveles_Importancia!$H$3:$H$30,0)),"Sin clasificar"),IF(AI94&lt;&gt;"",IFERROR(INDEX(Niveles_Importancia!$A$3:$A$30,MATCH("Vela|"&amp;$E$5&amp;"|1 hora",Niveles_Importancia!$H$3:$H$30,0)),"Sin clasificar"),IF(AJ94&lt;&gt;"",IFERROR(INDEX(Niveles_Importancia!$A$3:$A$30,MATCH($E$5&amp;"|"&amp;$E$6&amp;"|1 hora",Niveles_Importancia!$H$3:$H$30,0)),"Sin clasificar"),""))))</f>
      </c>
      <c r="AL94" s="7">
        <f t="shared" si="28"/>
      </c>
      <c r="AM94" s="7">
        <f t="shared" si="29"/>
      </c>
    </row>
    <row r="95" spans="1:39" x14ac:dyDescent="0.25">
      <c r="A95" s="7">
        <v>84</v>
      </c>
      <c r="B95" s="8" t="s">
        <v>172</v>
      </c>
      <c r="C95" s="10" t="str">
        <f>IFERROR(INDEX(Universo_Activos!$A$3:$A$1022,MATCH(B95,Universo_Activos!$C$3:$C$1022,0)),"")</f>
        <v>Acciones Europa</v>
      </c>
      <c r="D95" s="10" t="str">
        <f>IFERROR(INDEX(Universo_Activos!$B$3:$B$1022,MATCH(B95,Universo_Activos!$C$3:$C$1022,0)),"")</f>
        <v>Borsa Italiana (Euronext Milan)</v>
      </c>
      <c r="E95" s="10" t="str">
        <f>IFERROR(INDEX(Universo_Activos!$D$3:$D$1022,MATCH(B95,Universo_Activos!$C$3:$C$1022,0)),"")</f>
        <v>MIL:ENEL</v>
      </c>
      <c r="F95" s="10" t="str">
        <f>IFERROR(INDEX(Universo_Activos!$E$3:$E$1022,MATCH(B95,Universo_Activos!$C$3:$C$1022,0)),"")</f>
        <v>IT0003128367</v>
      </c>
      <c r="G95" s="11">
        <v>195.15</v>
      </c>
      <c r="H95" s="12">
        <v>0.0656</v>
      </c>
      <c r="I95" s="12">
        <v>-0.0197</v>
      </c>
      <c r="J95" s="12">
        <v>0.011</v>
      </c>
      <c r="K95" s="12">
        <v>0.0607</v>
      </c>
      <c r="L95" s="12">
        <v>0.0475</v>
      </c>
      <c r="M95" s="11">
        <v>1919.4</v>
      </c>
      <c r="N95" s="11">
        <v>1918</v>
      </c>
      <c r="O95" s="11">
        <v>1908.3405888033858</v>
      </c>
      <c r="P95" s="11">
        <v>1905.575736004232</v>
      </c>
      <c r="Q95" s="11">
        <v>1903.8041213564034</v>
      </c>
      <c r="R95" s="11">
        <v>1902.1624499202353</v>
      </c>
      <c r="S95" s="11">
        <v>1904.422135449809</v>
      </c>
      <c r="T95" s="11">
        <v>1903.810794039597</v>
      </c>
      <c r="U95" s="11">
        <v>1907.9678237883966</v>
      </c>
      <c r="V95" s="11">
        <v>1907.8143717587106</v>
      </c>
      <c r="W95" s="7">
        <f t="shared" si="24"/>
      </c>
      <c r="X95" s="7">
        <f t="shared" si="25"/>
      </c>
      <c r="Y95" s="11">
        <v>1919.4</v>
      </c>
      <c r="Z95" s="11">
        <v>1913.63</v>
      </c>
      <c r="AA95" s="11">
        <v>1906.7472825748293</v>
      </c>
      <c r="AB95" s="11">
        <v>1903.5841032185367</v>
      </c>
      <c r="AC95" s="11">
        <v>1906.772482412272</v>
      </c>
      <c r="AD95" s="11">
        <v>1905.4432700346165</v>
      </c>
      <c r="AE95" s="11">
        <v>1907.037041452911</v>
      </c>
      <c r="AF95" s="11">
        <v>1906.5324308999684</v>
      </c>
      <c r="AG95" s="11">
        <v>1900.2126729832498</v>
      </c>
      <c r="AH95" s="11">
        <v>1899.9551249696021</v>
      </c>
      <c r="AI95" s="7">
        <f t="shared" si="26"/>
      </c>
      <c r="AJ95" s="7">
        <f t="shared" si="27"/>
      </c>
      <c r="AK95" s="7">
        <f>IF(W95&lt;&gt;"",IFERROR(INDEX(Niveles_Importancia!$A$3:$A$30,MATCH("Vela|"&amp;$E$5&amp;"|15 min",Niveles_Importancia!$H$3:$H$30,0)),"Sin clasificar"),IF(X95&lt;&gt;"",IFERROR(INDEX(Niveles_Importancia!$A$3:$A$30,MATCH($E$5&amp;"|"&amp;$E$6&amp;"|15 min",Niveles_Importancia!$H$3:$H$30,0)),"Sin clasificar"),IF(AI95&lt;&gt;"",IFERROR(INDEX(Niveles_Importancia!$A$3:$A$30,MATCH("Vela|"&amp;$E$5&amp;"|1 hora",Niveles_Importancia!$H$3:$H$30,0)),"Sin clasificar"),IF(AJ95&lt;&gt;"",IFERROR(INDEX(Niveles_Importancia!$A$3:$A$30,MATCH($E$5&amp;"|"&amp;$E$6&amp;"|1 hora",Niveles_Importancia!$H$3:$H$30,0)),"Sin clasificar"),""))))</f>
      </c>
      <c r="AL95" s="7">
        <f t="shared" si="28"/>
      </c>
      <c r="AM95" s="7">
        <f t="shared" si="29"/>
      </c>
    </row>
    <row r="96" spans="1:39" x14ac:dyDescent="0.25">
      <c r="A96" s="7">
        <v>85</v>
      </c>
      <c r="B96" s="8" t="s">
        <v>173</v>
      </c>
      <c r="C96" s="10" t="str">
        <f>IFERROR(INDEX(Universo_Activos!$A$3:$A$1022,MATCH(B96,Universo_Activos!$C$3:$C$1022,0)),"")</f>
        <v>Acciones Europa</v>
      </c>
      <c r="D96" s="10" t="str">
        <f>IFERROR(INDEX(Universo_Activos!$B$3:$B$1022,MATCH(B96,Universo_Activos!$C$3:$C$1022,0)),"")</f>
        <v>Borsa Italiana (Euronext Milan)</v>
      </c>
      <c r="E96" s="10" t="str">
        <f>IFERROR(INDEX(Universo_Activos!$D$3:$D$1022,MATCH(B96,Universo_Activos!$C$3:$C$1022,0)),"")</f>
        <v>MIL:ENI</v>
      </c>
      <c r="F96" s="10" t="str">
        <f>IFERROR(INDEX(Universo_Activos!$E$3:$E$1022,MATCH(B96,Universo_Activos!$C$3:$C$1022,0)),"")</f>
        <v>IT0003132476</v>
      </c>
      <c r="G96" s="11">
        <v>174.08</v>
      </c>
      <c r="H96" s="12">
        <v>0.0429</v>
      </c>
      <c r="I96" s="12">
        <v>-0.002</v>
      </c>
      <c r="J96" s="12">
        <v>-0.0755</v>
      </c>
      <c r="K96" s="12">
        <v>0.0495</v>
      </c>
      <c r="L96" s="12">
        <v>-0.0698</v>
      </c>
      <c r="M96" s="11">
        <v>741.35</v>
      </c>
      <c r="N96" s="11">
        <v>740.74</v>
      </c>
      <c r="O96" s="11">
        <v>737.8982810719934</v>
      </c>
      <c r="P96" s="11">
        <v>737.0353513399918</v>
      </c>
      <c r="Q96" s="11">
        <v>737.1216842494059</v>
      </c>
      <c r="R96" s="11">
        <v>736.6765983809223</v>
      </c>
      <c r="S96" s="11">
        <v>737.7850999480327</v>
      </c>
      <c r="T96" s="11">
        <v>737.6395938234625</v>
      </c>
      <c r="U96" s="11">
        <v>740.3422432807315</v>
      </c>
      <c r="V96" s="11">
        <v>740.3287163449024</v>
      </c>
      <c r="W96" s="7">
        <f t="shared" si="24"/>
      </c>
      <c r="X96" s="7">
        <f t="shared" si="25"/>
      </c>
      <c r="Y96" s="11">
        <v>741.35</v>
      </c>
      <c r="Z96" s="11">
        <v>737.34</v>
      </c>
      <c r="AA96" s="11">
        <v>737.9952301266765</v>
      </c>
      <c r="AB96" s="11">
        <v>737.1565376583455</v>
      </c>
      <c r="AC96" s="11">
        <v>738.6699000939569</v>
      </c>
      <c r="AD96" s="11">
        <v>738.3877843143734</v>
      </c>
      <c r="AE96" s="11">
        <v>741.0991958329633</v>
      </c>
      <c r="AF96" s="11">
        <v>741.0889589281863</v>
      </c>
      <c r="AG96" s="11">
        <v>744.5144985751518</v>
      </c>
      <c r="AH96" s="11">
        <v>744.5569750660935</v>
      </c>
      <c r="AI96" s="7">
        <f t="shared" si="26"/>
      </c>
      <c r="AJ96" s="7">
        <f t="shared" si="27"/>
      </c>
      <c r="AK96" s="7">
        <f>IF(W96&lt;&gt;"",IFERROR(INDEX(Niveles_Importancia!$A$3:$A$30,MATCH("Vela|"&amp;$E$5&amp;"|15 min",Niveles_Importancia!$H$3:$H$30,0)),"Sin clasificar"),IF(X96&lt;&gt;"",IFERROR(INDEX(Niveles_Importancia!$A$3:$A$30,MATCH($E$5&amp;"|"&amp;$E$6&amp;"|15 min",Niveles_Importancia!$H$3:$H$30,0)),"Sin clasificar"),IF(AI96&lt;&gt;"",IFERROR(INDEX(Niveles_Importancia!$A$3:$A$30,MATCH("Vela|"&amp;$E$5&amp;"|1 hora",Niveles_Importancia!$H$3:$H$30,0)),"Sin clasificar"),IF(AJ96&lt;&gt;"",IFERROR(INDEX(Niveles_Importancia!$A$3:$A$30,MATCH($E$5&amp;"|"&amp;$E$6&amp;"|1 hora",Niveles_Importancia!$H$3:$H$30,0)),"Sin clasificar"),""))))</f>
      </c>
      <c r="AL96" s="7">
        <f t="shared" si="28"/>
      </c>
      <c r="AM96" s="7">
        <f t="shared" si="29"/>
      </c>
    </row>
    <row r="97" spans="1:39" x14ac:dyDescent="0.25">
      <c r="A97" s="7">
        <v>86</v>
      </c>
      <c r="B97" s="8" t="s">
        <v>174</v>
      </c>
      <c r="C97" s="10" t="str">
        <f>IFERROR(INDEX(Universo_Activos!$A$3:$A$1022,MATCH(B97,Universo_Activos!$C$3:$C$1022,0)),"")</f>
        <v>Acciones Europa</v>
      </c>
      <c r="D97" s="10" t="str">
        <f>IFERROR(INDEX(Universo_Activos!$B$3:$B$1022,MATCH(B97,Universo_Activos!$C$3:$C$1022,0)),"")</f>
        <v>Borsa Italiana (Euronext Milan)</v>
      </c>
      <c r="E97" s="10" t="str">
        <f>IFERROR(INDEX(Universo_Activos!$D$3:$D$1022,MATCH(B97,Universo_Activos!$C$3:$C$1022,0)),"")</f>
        <v>MIL:ISP</v>
      </c>
      <c r="F97" s="10" t="str">
        <f>IFERROR(INDEX(Universo_Activos!$E$3:$E$1022,MATCH(B97,Universo_Activos!$C$3:$C$1022,0)),"")</f>
        <v>IT0000072618</v>
      </c>
      <c r="G97" s="11">
        <v>256.21</v>
      </c>
      <c r="H97" s="12">
        <v>0.0096</v>
      </c>
      <c r="I97" s="12">
        <v>-0.0301</v>
      </c>
      <c r="J97" s="12">
        <v>-0.019</v>
      </c>
      <c r="K97" s="12">
        <v>0.0552</v>
      </c>
      <c r="L97" s="12">
        <v>0.0641</v>
      </c>
      <c r="M97" s="11">
        <v>4064.3</v>
      </c>
      <c r="N97" s="11">
        <v>4064.1</v>
      </c>
      <c r="O97" s="11">
        <v>4048.1800533557953</v>
      </c>
      <c r="P97" s="11">
        <v>4044.150066694744</v>
      </c>
      <c r="Q97" s="11">
        <v>4034.4843155862477</v>
      </c>
      <c r="R97" s="11">
        <v>4031.3458224900633</v>
      </c>
      <c r="S97" s="11">
        <v>4028.2267063881523</v>
      </c>
      <c r="T97" s="11">
        <v>4026.7543270570563</v>
      </c>
      <c r="U97" s="11">
        <v>4035.212857466909</v>
      </c>
      <c r="V97" s="11">
        <v>4034.822426023512</v>
      </c>
      <c r="W97" s="7">
        <f t="shared" si="24"/>
      </c>
      <c r="X97" s="7">
        <f t="shared" si="25"/>
      </c>
      <c r="Y97" s="11">
        <v>4064.3</v>
      </c>
      <c r="Z97" s="11">
        <v>4041</v>
      </c>
      <c r="AA97" s="11">
        <v>4031.664940719321</v>
      </c>
      <c r="AB97" s="11">
        <v>4023.506175899151</v>
      </c>
      <c r="AC97" s="11">
        <v>4029.742348145646</v>
      </c>
      <c r="AD97" s="11">
        <v>4026.1047005820296</v>
      </c>
      <c r="AE97" s="11">
        <v>4039.1587375344293</v>
      </c>
      <c r="AF97" s="11">
        <v>4038.1325635562425</v>
      </c>
      <c r="AG97" s="11">
        <v>4054.6702462693756</v>
      </c>
      <c r="AH97" s="11">
        <v>4054.5409878300384</v>
      </c>
      <c r="AI97" s="7">
        <f t="shared" si="26"/>
      </c>
      <c r="AJ97" s="7" t="str">
        <f t="shared" si="27"/>
        <v>ALCISTA</v>
      </c>
      <c r="AK97" s="7">
        <f>IF(W97&lt;&gt;"",IFERROR(INDEX(Niveles_Importancia!$A$3:$A$30,MATCH("Vela|"&amp;$E$5&amp;"|15 min",Niveles_Importancia!$H$3:$H$30,0)),"Sin clasificar"),IF(X97&lt;&gt;"",IFERROR(INDEX(Niveles_Importancia!$A$3:$A$30,MATCH($E$5&amp;"|"&amp;$E$6&amp;"|15 min",Niveles_Importancia!$H$3:$H$30,0)),"Sin clasificar"),IF(AI97&lt;&gt;"",IFERROR(INDEX(Niveles_Importancia!$A$3:$A$30,MATCH("Vela|"&amp;$E$5&amp;"|1 hora",Niveles_Importancia!$H$3:$H$30,0)),"Sin clasificar"),IF(AJ97&lt;&gt;"",IFERROR(INDEX(Niveles_Importancia!$A$3:$A$30,MATCH($E$5&amp;"|"&amp;$E$6&amp;"|1 hora",Niveles_Importancia!$H$3:$H$30,0)),"Sin clasificar"),""))))</f>
        <v>1</v>
      </c>
      <c r="AL97" s="7" t="str">
        <f t="shared" si="28"/>
        <v>Cruce alcista detectado en Intesa Sanpaolo (Borsa Italiana (Euronext Milan)). EMA 9 ha cruzado EMA 20 en 1 hora. Nivel: 1. 31/07/yyyy 20:15</v>
      </c>
      <c r="AM97" s="7" t="str">
        <f t="shared" si="29"/>
        <v>Intesa Sanpaolo|1h-MA1MA2|yyyy07312015</v>
      </c>
    </row>
    <row r="98" spans="1:39" x14ac:dyDescent="0.25">
      <c r="A98" s="7">
        <v>87</v>
      </c>
      <c r="B98" s="8" t="s">
        <v>175</v>
      </c>
      <c r="C98" s="10" t="str">
        <f>IFERROR(INDEX(Universo_Activos!$A$3:$A$1022,MATCH(B98,Universo_Activos!$C$3:$C$1022,0)),"")</f>
        <v>Acciones Europa</v>
      </c>
      <c r="D98" s="10" t="str">
        <f>IFERROR(INDEX(Universo_Activos!$B$3:$B$1022,MATCH(B98,Universo_Activos!$C$3:$C$1022,0)),"")</f>
        <v>Borsa Italiana (Euronext Milan)</v>
      </c>
      <c r="E98" s="10" t="str">
        <f>IFERROR(INDEX(Universo_Activos!$D$3:$D$1022,MATCH(B98,Universo_Activos!$C$3:$C$1022,0)),"")</f>
        <v>MIL:UCG</v>
      </c>
      <c r="F98" s="10" t="str">
        <f>IFERROR(INDEX(Universo_Activos!$E$3:$E$1022,MATCH(B98,Universo_Activos!$C$3:$C$1022,0)),"")</f>
        <v>IT0005239360</v>
      </c>
      <c r="G98" s="11">
        <v>146.67</v>
      </c>
      <c r="H98" s="12">
        <v>0.0096</v>
      </c>
      <c r="I98" s="12">
        <v>0.0679</v>
      </c>
      <c r="J98" s="12">
        <v>-0.0055</v>
      </c>
      <c r="K98" s="12">
        <v>0.0013</v>
      </c>
      <c r="L98" s="12">
        <v>0.014</v>
      </c>
      <c r="M98" s="11">
        <v>56.46</v>
      </c>
      <c r="N98" s="11">
        <v>56.18</v>
      </c>
      <c r="O98" s="11">
        <v>56.16140087413097</v>
      </c>
      <c r="P98" s="11">
        <v>56.08675109266371</v>
      </c>
      <c r="Q98" s="11">
        <v>56.056456538061624</v>
      </c>
      <c r="R98" s="11">
        <v>56.013978278910216</v>
      </c>
      <c r="S98" s="11">
        <v>56.00697452281864</v>
      </c>
      <c r="T98" s="11">
        <v>55.98848368701532</v>
      </c>
      <c r="U98" s="11">
        <v>55.55353203362553</v>
      </c>
      <c r="V98" s="11">
        <v>55.54136467837218</v>
      </c>
      <c r="W98" s="7">
        <f t="shared" ref="W98:W110" si="30">IF(AND(N98&lt;=P98,M98&gt;O98),"ALCISTA",IF(AND(N98&gt;=P98,M98&lt;O98),"BAJISTA",""))</f>
      </c>
      <c r="X98" s="7">
        <f t="shared" ref="X98:X110" si="31">IF(AND(P98&lt;=R98,O98&gt;Q98),"ALCISTA",IF(AND(P98&gt;=R98,O98&lt;Q98),"BAJISTA",""))</f>
      </c>
      <c r="Y98" s="11">
        <v>56.46</v>
      </c>
      <c r="Z98" s="11">
        <v>56.02</v>
      </c>
      <c r="AA98" s="11">
        <v>56.09682643901197</v>
      </c>
      <c r="AB98" s="11">
        <v>56.00603304876496</v>
      </c>
      <c r="AC98" s="11">
        <v>55.95711429721635</v>
      </c>
      <c r="AD98" s="11">
        <v>55.90417896008123</v>
      </c>
      <c r="AE98" s="11">
        <v>55.41281726710895</v>
      </c>
      <c r="AF98" s="11">
        <v>55.37007511474605</v>
      </c>
      <c r="AG98" s="11">
        <v>54.98329045590584</v>
      </c>
      <c r="AH98" s="11">
        <v>54.963468851287125</v>
      </c>
      <c r="AI98" s="7">
        <f t="shared" ref="AI98:AI110" si="32">IF(AND(Z98&lt;=AB98,Y98&gt;AA98),"ALCISTA",IF(AND(Z98&gt;=AB98,Y98&lt;AA98),"BAJISTA",""))</f>
      </c>
      <c r="AJ98" s="7">
        <f t="shared" ref="AJ98:AJ110" si="33">IF(AND(AB98&lt;=AD98,AA98&gt;AC98),"ALCISTA",IF(AND(AB98&gt;=AD98,AA98&lt;AC98),"BAJISTA",""))</f>
      </c>
      <c r="AK98" s="7">
        <f>IF(W98&lt;&gt;"",IFERROR(INDEX(Niveles_Importancia!$A$3:$A$30,MATCH("Vela|"&amp;$E$5&amp;"|15 min",Niveles_Importancia!$H$3:$H$30,0)),"Sin clasificar"),IF(X98&lt;&gt;"",IFERROR(INDEX(Niveles_Importancia!$A$3:$A$30,MATCH($E$5&amp;"|"&amp;$E$6&amp;"|15 min",Niveles_Importancia!$H$3:$H$30,0)),"Sin clasificar"),IF(AI98&lt;&gt;"",IFERROR(INDEX(Niveles_Importancia!$A$3:$A$30,MATCH("Vela|"&amp;$E$5&amp;"|1 hora",Niveles_Importancia!$H$3:$H$30,0)),"Sin clasificar"),IF(AJ98&lt;&gt;"",IFERROR(INDEX(Niveles_Importancia!$A$3:$A$30,MATCH($E$5&amp;"|"&amp;$E$6&amp;"|1 hora",Niveles_Importancia!$H$3:$H$30,0)),"Sin clasificar"),""))))</f>
      </c>
      <c r="AL98" s="7">
        <f t="shared" ref="AL98:AL110" si="34">IF(W98&lt;&gt;"","Cruce "&amp;LOWER(W98)&amp;" detectado en "&amp;B98&amp;" ("&amp;D98&amp;"). La vela ha cruzado "&amp;$E$5&amp;" en 15 min. Nivel: "&amp;AK98&amp;". Precio: "&amp;TEXT(M98,"0.00")&amp;". "&amp;TEXT(NOW(),"dd/mm/yyyy hh:mm"),IF(X98&lt;&gt;"","Cruce "&amp;LOWER(X98)&amp;" detectado en "&amp;B98&amp;" ("&amp;D98&amp;"). "&amp;$E$5&amp;" ha cruzado "&amp;$E$6&amp;" en 15 min. Nivel: "&amp;AK98&amp;". "&amp;TEXT(NOW(),"dd/mm/yyyy hh:mm"),IF(AI98&lt;&gt;"","Cruce "&amp;LOWER(AI98)&amp;" detectado en "&amp;B98&amp;" ("&amp;D98&amp;"). La vela ha cruzado "&amp;$E$5&amp;" en 1 hora. Nivel: "&amp;AK98&amp;". "&amp;TEXT(NOW(),"dd/mm/yyyy hh:mm"),IF(AJ98&lt;&gt;"","Cruce "&amp;LOWER(AJ98)&amp;" detectado en "&amp;B98&amp;" ("&amp;D98&amp;"). "&amp;$E$5&amp;" ha cruzado "&amp;$E$6&amp;" en 1 hora. Nivel: "&amp;AK98&amp;". "&amp;TEXT(NOW(),"dd/mm/yyyy hh:mm"),""))))</f>
      </c>
      <c r="AM98" s="7">
        <f t="shared" ref="AM98:AM110" si="35">IF(AL98="","",B98&amp;"|"&amp;IF(W98&lt;&gt;"","15min-VelaMA1",IF(X98&lt;&gt;"","15min-MA1MA2",IF(AI98&lt;&gt;"","1h-VelaMA1","1h-MA1MA2")))&amp;"|"&amp;TEXT(NOW(),"yyyymmddhhmm"))</f>
      </c>
    </row>
    <row r="99" spans="1:39" x14ac:dyDescent="0.25">
      <c r="A99" s="7">
        <v>88</v>
      </c>
      <c r="B99" s="8" t="s">
        <v>176</v>
      </c>
      <c r="C99" s="10" t="str">
        <f>IFERROR(INDEX(Universo_Activos!$A$3:$A$1022,MATCH(B99,Universo_Activos!$C$3:$C$1022,0)),"")</f>
        <v>Acciones Europa</v>
      </c>
      <c r="D99" s="10" t="str">
        <f>IFERROR(INDEX(Universo_Activos!$B$3:$B$1022,MATCH(B99,Universo_Activos!$C$3:$C$1022,0)),"")</f>
        <v>Euronext Paris</v>
      </c>
      <c r="E99" s="10" t="str">
        <f>IFERROR(INDEX(Universo_Activos!$D$3:$D$1022,MATCH(B99,Universo_Activos!$C$3:$C$1022,0)),"")</f>
        <v>EURONEXT:MC</v>
      </c>
      <c r="F99" s="10" t="str">
        <f>IFERROR(INDEX(Universo_Activos!$E$3:$E$1022,MATCH(B99,Universo_Activos!$C$3:$C$1022,0)),"")</f>
        <v>FR0000121014</v>
      </c>
      <c r="G99" s="11">
        <v>28.42</v>
      </c>
      <c r="H99" s="12">
        <v>-0.0058</v>
      </c>
      <c r="I99" s="12">
        <v>-0.0095</v>
      </c>
      <c r="J99" s="12">
        <v>0.0548</v>
      </c>
      <c r="K99" s="12">
        <v>0.0031</v>
      </c>
      <c r="L99" s="12">
        <v>0.0224</v>
      </c>
      <c r="M99" s="11">
        <v>20.61</v>
      </c>
      <c r="N99" s="11">
        <v>20.65</v>
      </c>
      <c r="O99" s="11">
        <v>20.717646491294744</v>
      </c>
      <c r="P99" s="11">
        <v>20.74455811411843</v>
      </c>
      <c r="Q99" s="11">
        <v>20.786213502448867</v>
      </c>
      <c r="R99" s="11">
        <v>20.804762292180328</v>
      </c>
      <c r="S99" s="11">
        <v>20.899640921051756</v>
      </c>
      <c r="T99" s="11">
        <v>20.91146299946203</v>
      </c>
      <c r="U99" s="11">
        <v>21.071022917009042</v>
      </c>
      <c r="V99" s="11">
        <v>21.077211144082987</v>
      </c>
      <c r="W99" s="7">
        <f t="shared" si="30"/>
      </c>
      <c r="X99" s="7">
        <f t="shared" si="31"/>
      </c>
      <c r="Y99" s="11">
        <v>20.61</v>
      </c>
      <c r="Z99" s="11">
        <v>20.67</v>
      </c>
      <c r="AA99" s="11">
        <v>20.81138726116584</v>
      </c>
      <c r="AB99" s="11">
        <v>20.861734076457303</v>
      </c>
      <c r="AC99" s="11">
        <v>20.943990701180706</v>
      </c>
      <c r="AD99" s="11">
        <v>20.979147617094466</v>
      </c>
      <c r="AE99" s="11">
        <v>21.076157742600703</v>
      </c>
      <c r="AF99" s="11">
        <v>21.095184589237466</v>
      </c>
      <c r="AG99" s="11">
        <v>21.130187906290544</v>
      </c>
      <c r="AH99" s="11">
        <v>21.137170294294442</v>
      </c>
      <c r="AI99" s="7">
        <f t="shared" si="32"/>
      </c>
      <c r="AJ99" s="7">
        <f t="shared" si="33"/>
      </c>
      <c r="AK99" s="7">
        <f>IF(W99&lt;&gt;"",IFERROR(INDEX(Niveles_Importancia!$A$3:$A$30,MATCH("Vela|"&amp;$E$5&amp;"|15 min",Niveles_Importancia!$H$3:$H$30,0)),"Sin clasificar"),IF(X99&lt;&gt;"",IFERROR(INDEX(Niveles_Importancia!$A$3:$A$30,MATCH($E$5&amp;"|"&amp;$E$6&amp;"|15 min",Niveles_Importancia!$H$3:$H$30,0)),"Sin clasificar"),IF(AI99&lt;&gt;"",IFERROR(INDEX(Niveles_Importancia!$A$3:$A$30,MATCH("Vela|"&amp;$E$5&amp;"|1 hora",Niveles_Importancia!$H$3:$H$30,0)),"Sin clasificar"),IF(AJ99&lt;&gt;"",IFERROR(INDEX(Niveles_Importancia!$A$3:$A$30,MATCH($E$5&amp;"|"&amp;$E$6&amp;"|1 hora",Niveles_Importancia!$H$3:$H$30,0)),"Sin clasificar"),""))))</f>
      </c>
      <c r="AL99" s="7">
        <f t="shared" si="34"/>
      </c>
      <c r="AM99" s="7">
        <f t="shared" si="35"/>
      </c>
    </row>
    <row r="100" spans="1:39" x14ac:dyDescent="0.25">
      <c r="A100" s="7">
        <v>89</v>
      </c>
      <c r="B100" s="8" t="s">
        <v>177</v>
      </c>
      <c r="C100" s="10" t="str">
        <f>IFERROR(INDEX(Universo_Activos!$A$3:$A$1022,MATCH(B100,Universo_Activos!$C$3:$C$1022,0)),"")</f>
        <v>Acciones Europa</v>
      </c>
      <c r="D100" s="10" t="str">
        <f>IFERROR(INDEX(Universo_Activos!$B$3:$B$1022,MATCH(B100,Universo_Activos!$C$3:$C$1022,0)),"")</f>
        <v>Euronext Paris</v>
      </c>
      <c r="E100" s="10" t="str">
        <f>IFERROR(INDEX(Universo_Activos!$D$3:$D$1022,MATCH(B100,Universo_Activos!$C$3:$C$1022,0)),"")</f>
        <v>EURONEXT:OR</v>
      </c>
      <c r="F100" s="10" t="str">
        <f>IFERROR(INDEX(Universo_Activos!$E$3:$E$1022,MATCH(B100,Universo_Activos!$C$3:$C$1022,0)),"")</f>
        <v>FR0000120321</v>
      </c>
      <c r="G100" s="11">
        <v>274.88</v>
      </c>
      <c r="H100" s="12">
        <v>-0.0048</v>
      </c>
      <c r="I100" s="12">
        <v>0.0769</v>
      </c>
      <c r="J100" s="12">
        <v>-0.0164</v>
      </c>
      <c r="K100" s="12">
        <v>-0.0683</v>
      </c>
      <c r="L100" s="12">
        <v>0.0207</v>
      </c>
      <c r="M100" s="11">
        <v>11.952</v>
      </c>
      <c r="N100" s="11">
        <v>11.934</v>
      </c>
      <c r="O100" s="11">
        <v>11.973288757524612</v>
      </c>
      <c r="P100" s="11">
        <v>11.978610946905764</v>
      </c>
      <c r="Q100" s="11">
        <v>11.998768446436754</v>
      </c>
      <c r="R100" s="11">
        <v>12.003691440798518</v>
      </c>
      <c r="S100" s="11">
        <v>12.059887722129899</v>
      </c>
      <c r="T100" s="11">
        <v>12.064291302624996</v>
      </c>
      <c r="U100" s="11">
        <v>12.072704963490407</v>
      </c>
      <c r="V100" s="11">
        <v>12.074325164342628</v>
      </c>
      <c r="W100" s="7">
        <f t="shared" si="30"/>
      </c>
      <c r="X100" s="7">
        <f t="shared" si="31"/>
      </c>
      <c r="Y100" s="11">
        <v>11.952</v>
      </c>
      <c r="Z100" s="11">
        <v>11.972</v>
      </c>
      <c r="AA100" s="11">
        <v>12.030948320273424</v>
      </c>
      <c r="AB100" s="11">
        <v>12.05068540034178</v>
      </c>
      <c r="AC100" s="11">
        <v>12.084820868085833</v>
      </c>
      <c r="AD100" s="11">
        <v>12.098802012094868</v>
      </c>
      <c r="AE100" s="11">
        <v>12.06435682198969</v>
      </c>
      <c r="AF100" s="11">
        <v>12.068942814723965</v>
      </c>
      <c r="AG100" s="11">
        <v>12.003302797184261</v>
      </c>
      <c r="AH100" s="11">
        <v>12.003991425334386</v>
      </c>
      <c r="AI100" s="7">
        <f t="shared" si="32"/>
      </c>
      <c r="AJ100" s="7">
        <f t="shared" si="33"/>
      </c>
      <c r="AK100" s="7">
        <f>IF(W100&lt;&gt;"",IFERROR(INDEX(Niveles_Importancia!$A$3:$A$30,MATCH("Vela|"&amp;$E$5&amp;"|15 min",Niveles_Importancia!$H$3:$H$30,0)),"Sin clasificar"),IF(X100&lt;&gt;"",IFERROR(INDEX(Niveles_Importancia!$A$3:$A$30,MATCH($E$5&amp;"|"&amp;$E$6&amp;"|15 min",Niveles_Importancia!$H$3:$H$30,0)),"Sin clasificar"),IF(AI100&lt;&gt;"",IFERROR(INDEX(Niveles_Importancia!$A$3:$A$30,MATCH("Vela|"&amp;$E$5&amp;"|1 hora",Niveles_Importancia!$H$3:$H$30,0)),"Sin clasificar"),IF(AJ100&lt;&gt;"",IFERROR(INDEX(Niveles_Importancia!$A$3:$A$30,MATCH($E$5&amp;"|"&amp;$E$6&amp;"|1 hora",Niveles_Importancia!$H$3:$H$30,0)),"Sin clasificar"),""))))</f>
      </c>
      <c r="AL100" s="7">
        <f t="shared" si="34"/>
      </c>
      <c r="AM100" s="7">
        <f t="shared" si="35"/>
      </c>
    </row>
    <row r="101" spans="1:39" x14ac:dyDescent="0.25">
      <c r="A101" s="7">
        <v>90</v>
      </c>
      <c r="B101" s="8" t="s">
        <v>178</v>
      </c>
      <c r="C101" s="10" t="str">
        <f>IFERROR(INDEX(Universo_Activos!$A$3:$A$1022,MATCH(B101,Universo_Activos!$C$3:$C$1022,0)),"")</f>
        <v>Acciones Europa</v>
      </c>
      <c r="D101" s="10" t="str">
        <f>IFERROR(INDEX(Universo_Activos!$B$3:$B$1022,MATCH(B101,Universo_Activos!$C$3:$C$1022,0)),"")</f>
        <v>Euronext Paris</v>
      </c>
      <c r="E101" s="10" t="str">
        <f>IFERROR(INDEX(Universo_Activos!$D$3:$D$1022,MATCH(B101,Universo_Activos!$C$3:$C$1022,0)),"")</f>
        <v>EURONEXT:TTE</v>
      </c>
      <c r="F101" s="10" t="str">
        <f>IFERROR(INDEX(Universo_Activos!$E$3:$E$1022,MATCH(B101,Universo_Activos!$C$3:$C$1022,0)),"")</f>
        <v>FR0000120271</v>
      </c>
      <c r="G101" s="11">
        <v>79.6</v>
      </c>
      <c r="H101" s="12">
        <v>-0.0368</v>
      </c>
      <c r="I101" s="12">
        <v>0.0753</v>
      </c>
      <c r="J101" s="12">
        <v>0.0485</v>
      </c>
      <c r="K101" s="12">
        <v>-0.0313</v>
      </c>
      <c r="L101" s="12">
        <v>0.0616</v>
      </c>
      <c r="M101" s="11">
        <v>466.8</v>
      </c>
      <c r="N101" s="11">
        <v>468.15</v>
      </c>
      <c r="O101" s="11">
        <v>467.87043480433647</v>
      </c>
      <c r="P101" s="11">
        <v>468.13804350542057</v>
      </c>
      <c r="Q101" s="11">
        <v>468.8773328445699</v>
      </c>
      <c r="R101" s="11">
        <v>469.0959994597878</v>
      </c>
      <c r="S101" s="11">
        <v>468.3337786918833</v>
      </c>
      <c r="T101" s="11">
        <v>468.3963819037969</v>
      </c>
      <c r="U101" s="11">
        <v>467.74040097354373</v>
      </c>
      <c r="V101" s="11">
        <v>467.75302380540336</v>
      </c>
      <c r="W101" s="7" t="str">
        <f t="shared" si="30"/>
        <v>BAJISTA</v>
      </c>
      <c r="X101" s="7">
        <f t="shared" si="31"/>
      </c>
      <c r="Y101" s="11">
        <v>466.8</v>
      </c>
      <c r="Z101" s="11">
        <v>465.9</v>
      </c>
      <c r="AA101" s="11">
        <v>468.7005949804359</v>
      </c>
      <c r="AB101" s="11">
        <v>469.17574372554486</v>
      </c>
      <c r="AC101" s="11">
        <v>467.334548525836</v>
      </c>
      <c r="AD101" s="11">
        <v>467.39081679171346</v>
      </c>
      <c r="AE101" s="11">
        <v>468.12707401946045</v>
      </c>
      <c r="AF101" s="11">
        <v>468.181240305969</v>
      </c>
      <c r="AG101" s="11">
        <v>478.01633307994376</v>
      </c>
      <c r="AH101" s="11">
        <v>478.16688788638595</v>
      </c>
      <c r="AI101" s="7">
        <f t="shared" si="32"/>
      </c>
      <c r="AJ101" s="7">
        <f t="shared" si="33"/>
      </c>
      <c r="AK101" s="7" t="str">
        <f>IF(W101&lt;&gt;"",IFERROR(INDEX(Niveles_Importancia!$A$3:$A$30,MATCH("Vela|"&amp;$E$5&amp;"|15 min",Niveles_Importancia!$H$3:$H$30,0)),"Sin clasificar"),IF(X101&lt;&gt;"",IFERROR(INDEX(Niveles_Importancia!$A$3:$A$30,MATCH($E$5&amp;"|"&amp;$E$6&amp;"|15 min",Niveles_Importancia!$H$3:$H$30,0)),"Sin clasificar"),IF(AI101&lt;&gt;"",IFERROR(INDEX(Niveles_Importancia!$A$3:$A$30,MATCH("Vela|"&amp;$E$5&amp;"|1 hora",Niveles_Importancia!$H$3:$H$30,0)),"Sin clasificar"),IF(AJ101&lt;&gt;"",IFERROR(INDEX(Niveles_Importancia!$A$3:$A$30,MATCH($E$5&amp;"|"&amp;$E$6&amp;"|1 hora",Niveles_Importancia!$H$3:$H$30,0)),"Sin clasificar"),""))))</f>
        <v>Sin clasificar</v>
      </c>
      <c r="AL101" s="7" t="str">
        <f t="shared" si="34"/>
        <v>Cruce bajista detectado en TotalEnergies (Euronext Paris). La vela ha cruzado EMA 9 en 15 min. Nivel: Sin clasificar. Precio: 467. 31/07/yyyy 20:15</v>
      </c>
      <c r="AM101" s="7" t="str">
        <f t="shared" si="35"/>
        <v>TotalEnergies|15min-VelaMA1|yyyy07312015</v>
      </c>
    </row>
    <row r="102" spans="1:39" x14ac:dyDescent="0.25">
      <c r="A102" s="7">
        <v>91</v>
      </c>
      <c r="B102" s="8" t="s">
        <v>179</v>
      </c>
      <c r="C102" s="10" t="str">
        <f>IFERROR(INDEX(Universo_Activos!$A$3:$A$1022,MATCH(B102,Universo_Activos!$C$3:$C$1022,0)),"")</f>
        <v>Acciones Europa</v>
      </c>
      <c r="D102" s="10" t="str">
        <f>IFERROR(INDEX(Universo_Activos!$B$3:$B$1022,MATCH(B102,Universo_Activos!$C$3:$C$1022,0)),"")</f>
        <v>Euronext Paris</v>
      </c>
      <c r="E102" s="10" t="str">
        <f>IFERROR(INDEX(Universo_Activos!$D$3:$D$1022,MATCH(B102,Universo_Activos!$C$3:$C$1022,0)),"")</f>
        <v>EURONEXT:SAN</v>
      </c>
      <c r="F102" s="10" t="str">
        <f>IFERROR(INDEX(Universo_Activos!$E$3:$E$1022,MATCH(B102,Universo_Activos!$C$3:$C$1022,0)),"")</f>
        <v>FR0000120578</v>
      </c>
      <c r="G102" s="11">
        <v>180.88</v>
      </c>
      <c r="H102" s="12">
        <v>0.0586</v>
      </c>
      <c r="I102" s="12">
        <v>-0.0507</v>
      </c>
      <c r="J102" s="12">
        <v>-0.0553</v>
      </c>
      <c r="K102" s="12">
        <v>0.0653</v>
      </c>
      <c r="L102" s="12">
        <v>0.0508</v>
      </c>
      <c r="M102" s="11">
        <v>162.8</v>
      </c>
      <c r="N102" s="11">
        <v>163.04</v>
      </c>
      <c r="O102" s="11">
        <v>162.02401094208562</v>
      </c>
      <c r="P102" s="11">
        <v>161.83001367760704</v>
      </c>
      <c r="Q102" s="11">
        <v>160.892501786353</v>
      </c>
      <c r="R102" s="11">
        <v>160.69171250070593</v>
      </c>
      <c r="S102" s="11">
        <v>158.419958926268</v>
      </c>
      <c r="T102" s="11">
        <v>158.24118173958507</v>
      </c>
      <c r="U102" s="11">
        <v>150.86605250777296</v>
      </c>
      <c r="V102" s="11">
        <v>150.7058652931122</v>
      </c>
      <c r="W102" s="7">
        <f t="shared" si="30"/>
      </c>
      <c r="X102" s="7">
        <f t="shared" si="31"/>
      </c>
      <c r="Y102" s="11">
        <v>162.8</v>
      </c>
      <c r="Z102" s="11">
        <v>162.5</v>
      </c>
      <c r="AA102" s="11">
        <v>160.2918874341871</v>
      </c>
      <c r="AB102" s="11">
        <v>159.66485929273387</v>
      </c>
      <c r="AC102" s="11">
        <v>156.64441495590808</v>
      </c>
      <c r="AD102" s="11">
        <v>155.99645863547735</v>
      </c>
      <c r="AE102" s="11">
        <v>149.14904812616723</v>
      </c>
      <c r="AF102" s="11">
        <v>148.5918664170312</v>
      </c>
      <c r="AG102" s="11">
        <v>142.1365475695528</v>
      </c>
      <c r="AH102" s="11">
        <v>141.8591857919629</v>
      </c>
      <c r="AI102" s="7">
        <f t="shared" si="32"/>
      </c>
      <c r="AJ102" s="7">
        <f t="shared" si="33"/>
      </c>
      <c r="AK102" s="7">
        <f>IF(W102&lt;&gt;"",IFERROR(INDEX(Niveles_Importancia!$A$3:$A$30,MATCH("Vela|"&amp;$E$5&amp;"|15 min",Niveles_Importancia!$H$3:$H$30,0)),"Sin clasificar"),IF(X102&lt;&gt;"",IFERROR(INDEX(Niveles_Importancia!$A$3:$A$30,MATCH($E$5&amp;"|"&amp;$E$6&amp;"|15 min",Niveles_Importancia!$H$3:$H$30,0)),"Sin clasificar"),IF(AI102&lt;&gt;"",IFERROR(INDEX(Niveles_Importancia!$A$3:$A$30,MATCH("Vela|"&amp;$E$5&amp;"|1 hora",Niveles_Importancia!$H$3:$H$30,0)),"Sin clasificar"),IF(AJ102&lt;&gt;"",IFERROR(INDEX(Niveles_Importancia!$A$3:$A$30,MATCH($E$5&amp;"|"&amp;$E$6&amp;"|1 hora",Niveles_Importancia!$H$3:$H$30,0)),"Sin clasificar"),""))))</f>
      </c>
      <c r="AL102" s="7">
        <f t="shared" si="34"/>
      </c>
      <c r="AM102" s="7">
        <f t="shared" si="35"/>
      </c>
    </row>
    <row r="103" spans="1:39" x14ac:dyDescent="0.25">
      <c r="A103" s="7">
        <v>92</v>
      </c>
      <c r="B103" s="8" t="s">
        <v>180</v>
      </c>
      <c r="C103" s="10" t="str">
        <f>IFERROR(INDEX(Universo_Activos!$A$3:$A$1022,MATCH(B103,Universo_Activos!$C$3:$C$1022,0)),"")</f>
        <v>Acciones Europa</v>
      </c>
      <c r="D103" s="10" t="str">
        <f>IFERROR(INDEX(Universo_Activos!$B$3:$B$1022,MATCH(B103,Universo_Activos!$C$3:$C$1022,0)),"")</f>
        <v>Euronext Paris</v>
      </c>
      <c r="E103" s="10" t="str">
        <f>IFERROR(INDEX(Universo_Activos!$D$3:$D$1022,MATCH(B103,Universo_Activos!$C$3:$C$1022,0)),"")</f>
        <v>EURONEXT:SU</v>
      </c>
      <c r="F103" s="10" t="str">
        <f>IFERROR(INDEX(Universo_Activos!$E$3:$E$1022,MATCH(B103,Universo_Activos!$C$3:$C$1022,0)),"")</f>
        <v>FR0000121972</v>
      </c>
      <c r="G103" s="11">
        <v>39.26</v>
      </c>
      <c r="H103" s="12">
        <v>-0.0435</v>
      </c>
      <c r="I103" s="12">
        <v>0.0095</v>
      </c>
      <c r="J103" s="12">
        <v>0.0564</v>
      </c>
      <c r="K103" s="12">
        <v>0.0183</v>
      </c>
      <c r="L103" s="12">
        <v>-0.0352</v>
      </c>
      <c r="M103" s="11">
        <v>343.495</v>
      </c>
      <c r="N103" s="11">
        <v>343.695</v>
      </c>
      <c r="O103" s="11">
        <v>342.96764759805137</v>
      </c>
      <c r="P103" s="11">
        <v>342.8358094975642</v>
      </c>
      <c r="Q103" s="11">
        <v>342.0359993644087</v>
      </c>
      <c r="R103" s="11">
        <v>341.88242035013593</v>
      </c>
      <c r="S103" s="11">
        <v>340.0608759765768</v>
      </c>
      <c r="T103" s="11">
        <v>339.92070764909016</v>
      </c>
      <c r="U103" s="11">
        <v>334.8318524240292</v>
      </c>
      <c r="V103" s="11">
        <v>334.71556856394903</v>
      </c>
      <c r="W103" s="7">
        <f t="shared" si="30"/>
      </c>
      <c r="X103" s="7">
        <f t="shared" si="31"/>
      </c>
      <c r="Y103" s="11">
        <v>343.495</v>
      </c>
      <c r="Z103" s="11">
        <v>343.6</v>
      </c>
      <c r="AA103" s="11">
        <v>341.4473227361075</v>
      </c>
      <c r="AB103" s="11">
        <v>340.9354034201344</v>
      </c>
      <c r="AC103" s="11">
        <v>338.75188286580726</v>
      </c>
      <c r="AD103" s="11">
        <v>338.2526073779975</v>
      </c>
      <c r="AE103" s="11">
        <v>333.45537903042117</v>
      </c>
      <c r="AF103" s="11">
        <v>333.0455985826833</v>
      </c>
      <c r="AG103" s="11">
        <v>322.498394525683</v>
      </c>
      <c r="AH103" s="11">
        <v>322.2165608951553</v>
      </c>
      <c r="AI103" s="7">
        <f t="shared" si="32"/>
      </c>
      <c r="AJ103" s="7">
        <f t="shared" si="33"/>
      </c>
      <c r="AK103" s="7">
        <f>IF(W103&lt;&gt;"",IFERROR(INDEX(Niveles_Importancia!$A$3:$A$30,MATCH("Vela|"&amp;$E$5&amp;"|15 min",Niveles_Importancia!$H$3:$H$30,0)),"Sin clasificar"),IF(X103&lt;&gt;"",IFERROR(INDEX(Niveles_Importancia!$A$3:$A$30,MATCH($E$5&amp;"|"&amp;$E$6&amp;"|15 min",Niveles_Importancia!$H$3:$H$30,0)),"Sin clasificar"),IF(AI103&lt;&gt;"",IFERROR(INDEX(Niveles_Importancia!$A$3:$A$30,MATCH("Vela|"&amp;$E$5&amp;"|1 hora",Niveles_Importancia!$H$3:$H$30,0)),"Sin clasificar"),IF(AJ103&lt;&gt;"",IFERROR(INDEX(Niveles_Importancia!$A$3:$A$30,MATCH($E$5&amp;"|"&amp;$E$6&amp;"|1 hora",Niveles_Importancia!$H$3:$H$30,0)),"Sin clasificar"),""))))</f>
      </c>
      <c r="AL103" s="7">
        <f t="shared" si="34"/>
      </c>
      <c r="AM103" s="7">
        <f t="shared" si="35"/>
      </c>
    </row>
    <row r="104" spans="1:39" x14ac:dyDescent="0.25">
      <c r="A104" s="7">
        <v>93</v>
      </c>
      <c r="B104" s="8" t="s">
        <v>181</v>
      </c>
      <c r="C104" s="10" t="str">
        <f>IFERROR(INDEX(Universo_Activos!$A$3:$A$1022,MATCH(B104,Universo_Activos!$C$3:$C$1022,0)),"")</f>
        <v>Acciones Europa</v>
      </c>
      <c r="D104" s="10" t="str">
        <f>IFERROR(INDEX(Universo_Activos!$B$3:$B$1022,MATCH(B104,Universo_Activos!$C$3:$C$1022,0)),"")</f>
        <v>Euronext Paris</v>
      </c>
      <c r="E104" s="10" t="str">
        <f>IFERROR(INDEX(Universo_Activos!$D$3:$D$1022,MATCH(B104,Universo_Activos!$C$3:$C$1022,0)),"")</f>
        <v>EURONEXT:AI</v>
      </c>
      <c r="F104" s="10" t="str">
        <f>IFERROR(INDEX(Universo_Activos!$E$3:$E$1022,MATCH(B104,Universo_Activos!$C$3:$C$1022,0)),"")</f>
        <v>FR0000120073</v>
      </c>
      <c r="G104" s="11">
        <v>216.27</v>
      </c>
      <c r="H104" s="12">
        <v>0.074</v>
      </c>
      <c r="I104" s="12">
        <v>-0.0766</v>
      </c>
      <c r="J104" s="12">
        <v>0.0218</v>
      </c>
      <c r="K104" s="12">
        <v>-0.0028</v>
      </c>
      <c r="L104" s="12">
        <v>0.0369</v>
      </c>
      <c r="M104" s="11">
        <v>400.45</v>
      </c>
      <c r="N104" s="11">
        <v>399.15</v>
      </c>
      <c r="O104" s="11">
        <v>397.72969630686225</v>
      </c>
      <c r="P104" s="11">
        <v>397.0496203835778</v>
      </c>
      <c r="Q104" s="11">
        <v>396.42652133961946</v>
      </c>
      <c r="R104" s="11">
        <v>396.0029972701057</v>
      </c>
      <c r="S104" s="11">
        <v>394.952058511691</v>
      </c>
      <c r="T104" s="11">
        <v>394.727652736658</v>
      </c>
      <c r="U104" s="11">
        <v>392.45661674979596</v>
      </c>
      <c r="V104" s="11">
        <v>392.3493230148939</v>
      </c>
      <c r="W104" s="7">
        <f t="shared" si="30"/>
      </c>
      <c r="X104" s="7">
        <f t="shared" si="31"/>
      </c>
      <c r="Y104" s="11">
        <v>400.45</v>
      </c>
      <c r="Z104" s="11">
        <v>398.7</v>
      </c>
      <c r="AA104" s="11">
        <v>396.5568956057862</v>
      </c>
      <c r="AB104" s="11">
        <v>395.58361950723275</v>
      </c>
      <c r="AC104" s="11">
        <v>394.32573068591864</v>
      </c>
      <c r="AD104" s="11">
        <v>393.6810707581206</v>
      </c>
      <c r="AE104" s="11">
        <v>392.3074205354215</v>
      </c>
      <c r="AF104" s="11">
        <v>391.9750703531938</v>
      </c>
      <c r="AG104" s="11">
        <v>392.1834445401125</v>
      </c>
      <c r="AH104" s="11">
        <v>392.07248406414084</v>
      </c>
      <c r="AI104" s="7">
        <f t="shared" si="32"/>
      </c>
      <c r="AJ104" s="7">
        <f t="shared" si="33"/>
      </c>
      <c r="AK104" s="7">
        <f>IF(W104&lt;&gt;"",IFERROR(INDEX(Niveles_Importancia!$A$3:$A$30,MATCH("Vela|"&amp;$E$5&amp;"|15 min",Niveles_Importancia!$H$3:$H$30,0)),"Sin clasificar"),IF(X104&lt;&gt;"",IFERROR(INDEX(Niveles_Importancia!$A$3:$A$30,MATCH($E$5&amp;"|"&amp;$E$6&amp;"|15 min",Niveles_Importancia!$H$3:$H$30,0)),"Sin clasificar"),IF(AI104&lt;&gt;"",IFERROR(INDEX(Niveles_Importancia!$A$3:$A$30,MATCH("Vela|"&amp;$E$5&amp;"|1 hora",Niveles_Importancia!$H$3:$H$30,0)),"Sin clasificar"),IF(AJ104&lt;&gt;"",IFERROR(INDEX(Niveles_Importancia!$A$3:$A$30,MATCH($E$5&amp;"|"&amp;$E$6&amp;"|1 hora",Niveles_Importancia!$H$3:$H$30,0)),"Sin clasificar"),""))))</f>
      </c>
      <c r="AL104" s="7">
        <f t="shared" si="34"/>
      </c>
      <c r="AM104" s="7">
        <f t="shared" si="35"/>
      </c>
    </row>
    <row r="105" spans="1:39" x14ac:dyDescent="0.25">
      <c r="A105" s="7">
        <v>94</v>
      </c>
      <c r="B105" s="8" t="s">
        <v>182</v>
      </c>
      <c r="C105" s="10" t="str">
        <f>IFERROR(INDEX(Universo_Activos!$A$3:$A$1022,MATCH(B105,Universo_Activos!$C$3:$C$1022,0)),"")</f>
        <v>Acciones Europa</v>
      </c>
      <c r="D105" s="10" t="str">
        <f>IFERROR(INDEX(Universo_Activos!$B$3:$B$1022,MATCH(B105,Universo_Activos!$C$3:$C$1022,0)),"")</f>
        <v>Euronext Paris</v>
      </c>
      <c r="E105" s="10" t="str">
        <f>IFERROR(INDEX(Universo_Activos!$D$3:$D$1022,MATCH(B105,Universo_Activos!$C$3:$C$1022,0)),"")</f>
        <v>EURONEXT:BNP</v>
      </c>
      <c r="F105" s="10" t="str">
        <f>IFERROR(INDEX(Universo_Activos!$E$3:$E$1022,MATCH(B105,Universo_Activos!$C$3:$C$1022,0)),"")</f>
        <v>FR0000131104</v>
      </c>
      <c r="G105" s="11">
        <v>183.15</v>
      </c>
      <c r="H105" s="12">
        <v>0.0174</v>
      </c>
      <c r="I105" s="12">
        <v>-0.0672</v>
      </c>
      <c r="J105" s="12">
        <v>0.0223</v>
      </c>
      <c r="K105" s="12">
        <v>0.0789</v>
      </c>
      <c r="L105" s="12">
        <v>0.0608</v>
      </c>
      <c r="M105" s="11">
        <v>304.96</v>
      </c>
      <c r="N105" s="11">
        <v>304.4</v>
      </c>
      <c r="O105" s="11">
        <v>303.47206143357977</v>
      </c>
      <c r="P105" s="11">
        <v>303.10007679197474</v>
      </c>
      <c r="Q105" s="11">
        <v>303.4582416293195</v>
      </c>
      <c r="R105" s="11">
        <v>303.3001618008268</v>
      </c>
      <c r="S105" s="11">
        <v>305.28698458337374</v>
      </c>
      <c r="T105" s="11">
        <v>305.3003308928992</v>
      </c>
      <c r="U105" s="11">
        <v>321.7337749041128</v>
      </c>
      <c r="V105" s="11">
        <v>321.9589262451076</v>
      </c>
      <c r="W105" s="7">
        <f t="shared" si="30"/>
      </c>
      <c r="X105" s="7" t="str">
        <f t="shared" si="31"/>
        <v>ALCISTA</v>
      </c>
      <c r="Y105" s="11">
        <v>304.96</v>
      </c>
      <c r="Z105" s="11">
        <v>302.62</v>
      </c>
      <c r="AA105" s="11">
        <v>304.1534957759352</v>
      </c>
      <c r="AB105" s="11">
        <v>303.951869719919</v>
      </c>
      <c r="AC105" s="11">
        <v>308.2165465268921</v>
      </c>
      <c r="AD105" s="11">
        <v>308.5593408981439</v>
      </c>
      <c r="AE105" s="11">
        <v>327.44218938018787</v>
      </c>
      <c r="AF105" s="11">
        <v>328.3598297630527</v>
      </c>
      <c r="AG105" s="11">
        <v>363.4163646519249</v>
      </c>
      <c r="AH105" s="11">
        <v>364.2010138418836</v>
      </c>
      <c r="AI105" s="7" t="str">
        <f t="shared" si="32"/>
        <v>ALCISTA</v>
      </c>
      <c r="AJ105" s="7">
        <f t="shared" si="33"/>
      </c>
      <c r="AK105" s="7">
        <f>IF(W105&lt;&gt;"",IFERROR(INDEX(Niveles_Importancia!$A$3:$A$30,MATCH("Vela|"&amp;$E$5&amp;"|15 min",Niveles_Importancia!$H$3:$H$30,0)),"Sin clasificar"),IF(X105&lt;&gt;"",IFERROR(INDEX(Niveles_Importancia!$A$3:$A$30,MATCH($E$5&amp;"|"&amp;$E$6&amp;"|15 min",Niveles_Importancia!$H$3:$H$30,0)),"Sin clasificar"),IF(AI105&lt;&gt;"",IFERROR(INDEX(Niveles_Importancia!$A$3:$A$30,MATCH("Vela|"&amp;$E$5&amp;"|1 hora",Niveles_Importancia!$H$3:$H$30,0)),"Sin clasificar"),IF(AJ105&lt;&gt;"",IFERROR(INDEX(Niveles_Importancia!$A$3:$A$30,MATCH($E$5&amp;"|"&amp;$E$6&amp;"|1 hora",Niveles_Importancia!$H$3:$H$30,0)),"Sin clasificar"),""))))</f>
        <v>1</v>
      </c>
      <c r="AL105" s="7" t="str">
        <f t="shared" si="34"/>
        <v>Cruce alcista detectado en BNP Paribas (Euronext Paris). EMA 9 ha cruzado EMA 20 en 15 min. Nivel: 1. 31/07/yyyy 20:15</v>
      </c>
      <c r="AM105" s="7" t="str">
        <f t="shared" si="35"/>
        <v>BNP Paribas|15min-MA1MA2|yyyy07312015</v>
      </c>
    </row>
    <row r="106" spans="1:39" x14ac:dyDescent="0.25">
      <c r="A106" s="7">
        <v>95</v>
      </c>
      <c r="B106" s="8" t="s">
        <v>183</v>
      </c>
      <c r="C106" s="10" t="str">
        <f>IFERROR(INDEX(Universo_Activos!$A$3:$A$1022,MATCH(B106,Universo_Activos!$C$3:$C$1022,0)),"")</f>
        <v>Acciones Europa</v>
      </c>
      <c r="D106" s="10" t="str">
        <f>IFERROR(INDEX(Universo_Activos!$B$3:$B$1022,MATCH(B106,Universo_Activos!$C$3:$C$1022,0)),"")</f>
        <v>Euronext Paris</v>
      </c>
      <c r="E106" s="10" t="str">
        <f>IFERROR(INDEX(Universo_Activos!$D$3:$D$1022,MATCH(B106,Universo_Activos!$C$3:$C$1022,0)),"")</f>
        <v>EURONEXT:CS</v>
      </c>
      <c r="F106" s="10" t="str">
        <f>IFERROR(INDEX(Universo_Activos!$E$3:$E$1022,MATCH(B106,Universo_Activos!$C$3:$C$1022,0)),"")</f>
        <v>FR0000120628</v>
      </c>
      <c r="G106" s="11">
        <v>76.72</v>
      </c>
      <c r="H106" s="12">
        <v>-0.0529</v>
      </c>
      <c r="I106" s="12">
        <v>0.0649</v>
      </c>
      <c r="J106" s="12">
        <v>0.0256</v>
      </c>
      <c r="K106" s="12">
        <v>-0.0093</v>
      </c>
      <c r="L106" s="12">
        <v>0.0627</v>
      </c>
      <c r="M106" s="11">
        <v>1.13972</v>
      </c>
      <c r="N106" s="11">
        <v>1.14003</v>
      </c>
      <c r="O106" s="11">
        <v>1.139576466067868</v>
      </c>
      <c r="P106" s="11">
        <v>1.139540582584835</v>
      </c>
      <c r="Q106" s="11">
        <v>1.138596475449015</v>
      </c>
      <c r="R106" s="11">
        <v>1.1384841229939164</v>
      </c>
      <c r="S106" s="11">
        <v>1.1377499368624893</v>
      </c>
      <c r="T106" s="11">
        <v>1.1376695261221828</v>
      </c>
      <c r="U106" s="11">
        <v>1.1376783575413316</v>
      </c>
      <c r="V106" s="11">
        <v>1.137650952944571</v>
      </c>
      <c r="W106" s="7">
        <f t="shared" si="30"/>
      </c>
      <c r="X106" s="7">
        <f t="shared" si="31"/>
      </c>
      <c r="Y106" s="11">
        <v>1.13972</v>
      </c>
      <c r="Z106" s="11">
        <v>1.14003</v>
      </c>
      <c r="AA106" s="11">
        <v>1.1380810317652519</v>
      </c>
      <c r="AB106" s="11">
        <v>1.1376712897065648</v>
      </c>
      <c r="AC106" s="11">
        <v>1.1376433367389955</v>
      </c>
      <c r="AD106" s="11">
        <v>1.1374356704128952</v>
      </c>
      <c r="AE106" s="11">
        <v>1.1379489876466264</v>
      </c>
      <c r="AF106" s="11">
        <v>1.1378767014281215</v>
      </c>
      <c r="AG106" s="11">
        <v>1.1393512960439711</v>
      </c>
      <c r="AH106" s="11">
        <v>1.1393463469975815</v>
      </c>
      <c r="AI106" s="7">
        <f t="shared" si="32"/>
      </c>
      <c r="AJ106" s="7">
        <f t="shared" si="33"/>
      </c>
      <c r="AK106" s="7">
        <f>IF(W106&lt;&gt;"",IFERROR(INDEX(Niveles_Importancia!$A$3:$A$30,MATCH("Vela|"&amp;$E$5&amp;"|15 min",Niveles_Importancia!$H$3:$H$30,0)),"Sin clasificar"),IF(X106&lt;&gt;"",IFERROR(INDEX(Niveles_Importancia!$A$3:$A$30,MATCH($E$5&amp;"|"&amp;$E$6&amp;"|15 min",Niveles_Importancia!$H$3:$H$30,0)),"Sin clasificar"),IF(AI106&lt;&gt;"",IFERROR(INDEX(Niveles_Importancia!$A$3:$A$30,MATCH("Vela|"&amp;$E$5&amp;"|1 hora",Niveles_Importancia!$H$3:$H$30,0)),"Sin clasificar"),IF(AJ106&lt;&gt;"",IFERROR(INDEX(Niveles_Importancia!$A$3:$A$30,MATCH($E$5&amp;"|"&amp;$E$6&amp;"|1 hora",Niveles_Importancia!$H$3:$H$30,0)),"Sin clasificar"),""))))</f>
      </c>
      <c r="AL106" s="7">
        <f t="shared" si="34"/>
      </c>
      <c r="AM106" s="7">
        <f t="shared" si="35"/>
      </c>
    </row>
    <row r="107" spans="1:39" x14ac:dyDescent="0.25">
      <c r="A107" s="7">
        <v>96</v>
      </c>
      <c r="B107" s="8" t="s">
        <v>184</v>
      </c>
      <c r="C107" s="10" t="str">
        <f>IFERROR(INDEX(Universo_Activos!$A$3:$A$1022,MATCH(B107,Universo_Activos!$C$3:$C$1022,0)),"")</f>
        <v>Acciones Europa</v>
      </c>
      <c r="D107" s="10" t="str">
        <f>IFERROR(INDEX(Universo_Activos!$B$3:$B$1022,MATCH(B107,Universo_Activos!$C$3:$C$1022,0)),"")</f>
        <v>Euronext Paris</v>
      </c>
      <c r="E107" s="10" t="str">
        <f>IFERROR(INDEX(Universo_Activos!$D$3:$D$1022,MATCH(B107,Universo_Activos!$C$3:$C$1022,0)),"")</f>
        <v>EURONEXT:SGO</v>
      </c>
      <c r="F107" s="10" t="str">
        <f>IFERROR(INDEX(Universo_Activos!$E$3:$E$1022,MATCH(B107,Universo_Activos!$C$3:$C$1022,0)),"")</f>
        <v>FR0000125007</v>
      </c>
      <c r="G107" s="11">
        <v>79.94</v>
      </c>
      <c r="H107" s="12">
        <v>-0.0138</v>
      </c>
      <c r="I107" s="12">
        <v>0.0201</v>
      </c>
      <c r="J107" s="12">
        <v>-0.001</v>
      </c>
      <c r="K107" s="12">
        <v>-0.0295</v>
      </c>
      <c r="L107" s="12">
        <v>0.0543</v>
      </c>
      <c r="M107" s="11">
        <v>1.33017</v>
      </c>
      <c r="N107" s="11">
        <v>1.33047</v>
      </c>
      <c r="O107" s="11">
        <v>1.3303390642082802</v>
      </c>
      <c r="P107" s="11">
        <v>1.3303813302603502</v>
      </c>
      <c r="Q107" s="11">
        <v>1.3299116369990274</v>
      </c>
      <c r="R107" s="11">
        <v>1.32988580069893</v>
      </c>
      <c r="S107" s="11">
        <v>1.329581888143273</v>
      </c>
      <c r="T107" s="11">
        <v>1.3295578835776924</v>
      </c>
      <c r="U107" s="11">
        <v>1.330210190603126</v>
      </c>
      <c r="V107" s="11">
        <v>1.330210730074309</v>
      </c>
      <c r="W107" s="7" t="str">
        <f t="shared" si="30"/>
        <v>BAJISTA</v>
      </c>
      <c r="X107" s="7">
        <f t="shared" si="31"/>
      </c>
      <c r="Y107" s="11">
        <v>1.33017</v>
      </c>
      <c r="Z107" s="11">
        <v>1.3309199999999999</v>
      </c>
      <c r="AA107" s="11">
        <v>1.3296584187379816</v>
      </c>
      <c r="AB107" s="11">
        <v>1.329530523422477</v>
      </c>
      <c r="AC107" s="11">
        <v>1.3297158070519384</v>
      </c>
      <c r="AD107" s="11">
        <v>1.329670387757132</v>
      </c>
      <c r="AE107" s="11">
        <v>1.3308628345028086</v>
      </c>
      <c r="AF107" s="11">
        <v>1.3308911134621069</v>
      </c>
      <c r="AG107" s="11">
        <v>1.3345566142624254</v>
      </c>
      <c r="AH107" s="11">
        <v>1.3346154949907802</v>
      </c>
      <c r="AI107" s="7">
        <f t="shared" si="32"/>
      </c>
      <c r="AJ107" s="7">
        <f t="shared" si="33"/>
      </c>
      <c r="AK107" s="7" t="str">
        <f>IF(W107&lt;&gt;"",IFERROR(INDEX(Niveles_Importancia!$A$3:$A$30,MATCH("Vela|"&amp;$E$5&amp;"|15 min",Niveles_Importancia!$H$3:$H$30,0)),"Sin clasificar"),IF(X107&lt;&gt;"",IFERROR(INDEX(Niveles_Importancia!$A$3:$A$30,MATCH($E$5&amp;"|"&amp;$E$6&amp;"|15 min",Niveles_Importancia!$H$3:$H$30,0)),"Sin clasificar"),IF(AI107&lt;&gt;"",IFERROR(INDEX(Niveles_Importancia!$A$3:$A$30,MATCH("Vela|"&amp;$E$5&amp;"|1 hora",Niveles_Importancia!$H$3:$H$30,0)),"Sin clasificar"),IF(AJ107&lt;&gt;"",IFERROR(INDEX(Niveles_Importancia!$A$3:$A$30,MATCH($E$5&amp;"|"&amp;$E$6&amp;"|1 hora",Niveles_Importancia!$H$3:$H$30,0)),"Sin clasificar"),""))))</f>
        <v>Sin clasificar</v>
      </c>
      <c r="AL107" s="7" t="str">
        <f t="shared" si="34"/>
        <v>Cruce bajista detectado en Saint-Gobain (Euronext Paris). La vela ha cruzado EMA 9 en 15 min. Nivel: Sin clasificar. Precio: 001. 31/07/yyyy 20:15</v>
      </c>
      <c r="AM107" s="7" t="str">
        <f t="shared" si="35"/>
        <v>Saint-Gobain|15min-VelaMA1|yyyy07312015</v>
      </c>
    </row>
    <row r="108" spans="1:39" x14ac:dyDescent="0.25">
      <c r="A108" s="7">
        <v>97</v>
      </c>
      <c r="B108" s="8" t="s">
        <v>185</v>
      </c>
      <c r="C108" s="10" t="str">
        <f>IFERROR(INDEX(Universo_Activos!$A$3:$A$1022,MATCH(B108,Universo_Activos!$C$3:$C$1022,0)),"")</f>
        <v>Acciones Europa</v>
      </c>
      <c r="D108" s="10" t="str">
        <f>IFERROR(INDEX(Universo_Activos!$B$3:$B$1022,MATCH(B108,Universo_Activos!$C$3:$C$1022,0)),"")</f>
        <v>Euronext Paris</v>
      </c>
      <c r="E108" s="10" t="str">
        <f>IFERROR(INDEX(Universo_Activos!$D$3:$D$1022,MATCH(B108,Universo_Activos!$C$3:$C$1022,0)),"")</f>
        <v>EURONEXT:SAF</v>
      </c>
      <c r="F108" s="10" t="str">
        <f>IFERROR(INDEX(Universo_Activos!$E$3:$E$1022,MATCH(B108,Universo_Activos!$C$3:$C$1022,0)),"")</f>
        <v>FR0000073272</v>
      </c>
      <c r="G108" s="11">
        <v>196.39</v>
      </c>
      <c r="H108" s="12">
        <v>0.0248</v>
      </c>
      <c r="I108" s="12">
        <v>0.0492</v>
      </c>
      <c r="J108" s="12">
        <v>0.0734</v>
      </c>
      <c r="K108" s="12">
        <v>0.0295</v>
      </c>
      <c r="L108" s="12">
        <v>-0.0481</v>
      </c>
      <c r="M108" s="11">
        <v>64350.72</v>
      </c>
      <c r="N108" s="11">
        <v>64322.01</v>
      </c>
      <c r="O108" s="11">
        <v>64110.176715052105</v>
      </c>
      <c r="P108" s="11">
        <v>64050.04089381513</v>
      </c>
      <c r="Q108" s="11">
        <v>64070.172881340935</v>
      </c>
      <c r="R108" s="11">
        <v>64040.64160569261</v>
      </c>
      <c r="S108" s="11">
        <v>64092.445889691815</v>
      </c>
      <c r="T108" s="11">
        <v>64081.90408927108</v>
      </c>
      <c r="U108" s="11">
        <v>64074.104651002024</v>
      </c>
      <c r="V108" s="11">
        <v>64070.39169329735</v>
      </c>
      <c r="W108" s="7">
        <f t="shared" si="30"/>
      </c>
      <c r="X108" s="7">
        <f t="shared" si="31"/>
      </c>
      <c r="Y108" s="11">
        <v>64350.72</v>
      </c>
      <c r="Z108" s="11">
        <v>64189.4</v>
      </c>
      <c r="AA108" s="11">
        <v>64159.84368011483</v>
      </c>
      <c r="AB108" s="11">
        <v>64112.124600143536</v>
      </c>
      <c r="AC108" s="11">
        <v>64101.96952934672</v>
      </c>
      <c r="AD108" s="11">
        <v>64075.785269277956</v>
      </c>
      <c r="AE108" s="11">
        <v>64084.196062164505</v>
      </c>
      <c r="AF108" s="11">
        <v>64073.31753408958</v>
      </c>
      <c r="AG108" s="11">
        <v>64333.88963898166</v>
      </c>
      <c r="AH108" s="11">
        <v>64333.663728095504</v>
      </c>
      <c r="AI108" s="7">
        <f t="shared" si="32"/>
      </c>
      <c r="AJ108" s="7">
        <f t="shared" si="33"/>
      </c>
      <c r="AK108" s="7">
        <f>IF(W108&lt;&gt;"",IFERROR(INDEX(Niveles_Importancia!$A$3:$A$30,MATCH("Vela|"&amp;$E$5&amp;"|15 min",Niveles_Importancia!$H$3:$H$30,0)),"Sin clasificar"),IF(X108&lt;&gt;"",IFERROR(INDEX(Niveles_Importancia!$A$3:$A$30,MATCH($E$5&amp;"|"&amp;$E$6&amp;"|15 min",Niveles_Importancia!$H$3:$H$30,0)),"Sin clasificar"),IF(AI108&lt;&gt;"",IFERROR(INDEX(Niveles_Importancia!$A$3:$A$30,MATCH("Vela|"&amp;$E$5&amp;"|1 hora",Niveles_Importancia!$H$3:$H$30,0)),"Sin clasificar"),IF(AJ108&lt;&gt;"",IFERROR(INDEX(Niveles_Importancia!$A$3:$A$30,MATCH($E$5&amp;"|"&amp;$E$6&amp;"|1 hora",Niveles_Importancia!$H$3:$H$30,0)),"Sin clasificar"),""))))</f>
      </c>
      <c r="AL108" s="7">
        <f t="shared" si="34"/>
      </c>
      <c r="AM108" s="7">
        <f t="shared" si="35"/>
      </c>
    </row>
    <row r="109" spans="1:39" x14ac:dyDescent="0.25">
      <c r="A109" s="7">
        <v>98</v>
      </c>
      <c r="B109" s="8" t="s">
        <v>186</v>
      </c>
      <c r="C109" s="10" t="str">
        <f>IFERROR(INDEX(Universo_Activos!$A$3:$A$1022,MATCH(B109,Universo_Activos!$C$3:$C$1022,0)),"")</f>
        <v>Acciones Europa</v>
      </c>
      <c r="D109" s="10" t="str">
        <f>IFERROR(INDEX(Universo_Activos!$B$3:$B$1022,MATCH(B109,Universo_Activos!$C$3:$C$1022,0)),"")</f>
        <v>Euronext Amsterdam</v>
      </c>
      <c r="E109" s="10" t="str">
        <f>IFERROR(INDEX(Universo_Activos!$D$3:$D$1022,MATCH(B109,Universo_Activos!$C$3:$C$1022,0)),"")</f>
        <v>EURONEXT:ASML</v>
      </c>
      <c r="F109" s="10" t="str">
        <f>IFERROR(INDEX(Universo_Activos!$E$3:$E$1022,MATCH(B109,Universo_Activos!$C$3:$C$1022,0)),"")</f>
        <v>NL0010273215</v>
      </c>
      <c r="G109" s="11">
        <v>195.15</v>
      </c>
      <c r="H109" s="12">
        <v>0.0656</v>
      </c>
      <c r="I109" s="12">
        <v>-0.0197</v>
      </c>
      <c r="J109" s="12">
        <v>0.011</v>
      </c>
      <c r="K109" s="12">
        <v>0.0607</v>
      </c>
      <c r="L109" s="12">
        <v>0.0475</v>
      </c>
      <c r="M109" s="11">
        <v>1919.4</v>
      </c>
      <c r="N109" s="11">
        <v>1918</v>
      </c>
      <c r="O109" s="11">
        <v>1908.3405888033858</v>
      </c>
      <c r="P109" s="11">
        <v>1905.575736004232</v>
      </c>
      <c r="Q109" s="11">
        <v>1903.8041213564034</v>
      </c>
      <c r="R109" s="11">
        <v>1902.1624499202353</v>
      </c>
      <c r="S109" s="11">
        <v>1904.422135449809</v>
      </c>
      <c r="T109" s="11">
        <v>1903.810794039597</v>
      </c>
      <c r="U109" s="11">
        <v>1907.9678237883966</v>
      </c>
      <c r="V109" s="11">
        <v>1907.8143717587106</v>
      </c>
      <c r="W109" s="7">
        <f t="shared" si="30"/>
      </c>
      <c r="X109" s="7">
        <f t="shared" si="31"/>
      </c>
      <c r="Y109" s="11">
        <v>1919.4</v>
      </c>
      <c r="Z109" s="11">
        <v>1913.63</v>
      </c>
      <c r="AA109" s="11">
        <v>1906.7472825748293</v>
      </c>
      <c r="AB109" s="11">
        <v>1903.5841032185367</v>
      </c>
      <c r="AC109" s="11">
        <v>1906.772482412272</v>
      </c>
      <c r="AD109" s="11">
        <v>1905.4432700346165</v>
      </c>
      <c r="AE109" s="11">
        <v>1907.037041452911</v>
      </c>
      <c r="AF109" s="11">
        <v>1906.5324308999684</v>
      </c>
      <c r="AG109" s="11">
        <v>1900.2126729832498</v>
      </c>
      <c r="AH109" s="11">
        <v>1899.9551249696021</v>
      </c>
      <c r="AI109" s="7">
        <f t="shared" si="32"/>
      </c>
      <c r="AJ109" s="7">
        <f t="shared" si="33"/>
      </c>
      <c r="AK109" s="7">
        <f>IF(W109&lt;&gt;"",IFERROR(INDEX(Niveles_Importancia!$A$3:$A$30,MATCH("Vela|"&amp;$E$5&amp;"|15 min",Niveles_Importancia!$H$3:$H$30,0)),"Sin clasificar"),IF(X109&lt;&gt;"",IFERROR(INDEX(Niveles_Importancia!$A$3:$A$30,MATCH($E$5&amp;"|"&amp;$E$6&amp;"|15 min",Niveles_Importancia!$H$3:$H$30,0)),"Sin clasificar"),IF(AI109&lt;&gt;"",IFERROR(INDEX(Niveles_Importancia!$A$3:$A$30,MATCH("Vela|"&amp;$E$5&amp;"|1 hora",Niveles_Importancia!$H$3:$H$30,0)),"Sin clasificar"),IF(AJ109&lt;&gt;"",IFERROR(INDEX(Niveles_Importancia!$A$3:$A$30,MATCH($E$5&amp;"|"&amp;$E$6&amp;"|1 hora",Niveles_Importancia!$H$3:$H$30,0)),"Sin clasificar"),""))))</f>
      </c>
      <c r="AL109" s="7">
        <f t="shared" si="34"/>
      </c>
      <c r="AM109" s="7">
        <f t="shared" si="35"/>
      </c>
    </row>
    <row r="110" spans="1:39" x14ac:dyDescent="0.25">
      <c r="A110" s="7">
        <v>99</v>
      </c>
      <c r="B110" s="8" t="s">
        <v>187</v>
      </c>
      <c r="C110" s="10" t="str">
        <f>IFERROR(INDEX(Universo_Activos!$A$3:$A$1022,MATCH(B110,Universo_Activos!$C$3:$C$1022,0)),"")</f>
        <v>Acciones Europa</v>
      </c>
      <c r="D110" s="10" t="str">
        <f>IFERROR(INDEX(Universo_Activos!$B$3:$B$1022,MATCH(B110,Universo_Activos!$C$3:$C$1022,0)),"")</f>
        <v>Euronext Amsterdam</v>
      </c>
      <c r="E110" s="10" t="str">
        <f>IFERROR(INDEX(Universo_Activos!$D$3:$D$1022,MATCH(B110,Universo_Activos!$C$3:$C$1022,0)),"")</f>
        <v>EURONEXT:PRX</v>
      </c>
      <c r="F110" s="10" t="str">
        <f>IFERROR(INDEX(Universo_Activos!$E$3:$E$1022,MATCH(B110,Universo_Activos!$C$3:$C$1022,0)),"")</f>
        <v>NL0013654783</v>
      </c>
      <c r="G110" s="11">
        <v>174.08</v>
      </c>
      <c r="H110" s="12">
        <v>0.0429</v>
      </c>
      <c r="I110" s="12">
        <v>-0.002</v>
      </c>
      <c r="J110" s="12">
        <v>-0.0755</v>
      </c>
      <c r="K110" s="12">
        <v>0.0495</v>
      </c>
      <c r="L110" s="12">
        <v>-0.0698</v>
      </c>
      <c r="M110" s="11">
        <v>741.35</v>
      </c>
      <c r="N110" s="11">
        <v>740.74</v>
      </c>
      <c r="O110" s="11">
        <v>737.8982810719934</v>
      </c>
      <c r="P110" s="11">
        <v>737.0353513399918</v>
      </c>
      <c r="Q110" s="11">
        <v>737.1216842494059</v>
      </c>
      <c r="R110" s="11">
        <v>736.6765983809223</v>
      </c>
      <c r="S110" s="11">
        <v>737.7850999480327</v>
      </c>
      <c r="T110" s="11">
        <v>737.6395938234625</v>
      </c>
      <c r="U110" s="11">
        <v>740.3422432807315</v>
      </c>
      <c r="V110" s="11">
        <v>740.3287163449024</v>
      </c>
      <c r="W110" s="7">
        <f t="shared" si="30"/>
      </c>
      <c r="X110" s="7">
        <f t="shared" si="31"/>
      </c>
      <c r="Y110" s="11">
        <v>741.35</v>
      </c>
      <c r="Z110" s="11">
        <v>737.34</v>
      </c>
      <c r="AA110" s="11">
        <v>737.9952301266765</v>
      </c>
      <c r="AB110" s="11">
        <v>737.1565376583455</v>
      </c>
      <c r="AC110" s="11">
        <v>738.6699000939569</v>
      </c>
      <c r="AD110" s="11">
        <v>738.3877843143734</v>
      </c>
      <c r="AE110" s="11">
        <v>741.0991958329633</v>
      </c>
      <c r="AF110" s="11">
        <v>741.0889589281863</v>
      </c>
      <c r="AG110" s="11">
        <v>744.5144985751518</v>
      </c>
      <c r="AH110" s="11">
        <v>744.5569750660935</v>
      </c>
      <c r="AI110" s="7">
        <f t="shared" si="32"/>
      </c>
      <c r="AJ110" s="7">
        <f t="shared" si="33"/>
      </c>
      <c r="AK110" s="7">
        <f>IF(W110&lt;&gt;"",IFERROR(INDEX(Niveles_Importancia!$A$3:$A$30,MATCH("Vela|"&amp;$E$5&amp;"|15 min",Niveles_Importancia!$H$3:$H$30,0)),"Sin clasificar"),IF(X110&lt;&gt;"",IFERROR(INDEX(Niveles_Importancia!$A$3:$A$30,MATCH($E$5&amp;"|"&amp;$E$6&amp;"|15 min",Niveles_Importancia!$H$3:$H$30,0)),"Sin clasificar"),IF(AI110&lt;&gt;"",IFERROR(INDEX(Niveles_Importancia!$A$3:$A$30,MATCH("Vela|"&amp;$E$5&amp;"|1 hora",Niveles_Importancia!$H$3:$H$30,0)),"Sin clasificar"),IF(AJ110&lt;&gt;"",IFERROR(INDEX(Niveles_Importancia!$A$3:$A$30,MATCH($E$5&amp;"|"&amp;$E$6&amp;"|1 hora",Niveles_Importancia!$H$3:$H$30,0)),"Sin clasificar"),""))))</f>
      </c>
      <c r="AL110" s="7">
        <f t="shared" si="34"/>
      </c>
      <c r="AM110" s="7">
        <f t="shared" si="35"/>
      </c>
    </row>
    <row r="111" spans="1:39" x14ac:dyDescent="0.25">
      <c r="A111" s="7">
        <v>100</v>
      </c>
      <c r="B111" s="8" t="s">
        <v>188</v>
      </c>
      <c r="C111" s="10" t="str">
        <f>IFERROR(INDEX(Universo_Activos!$A$3:$A$1022,MATCH(B111,Universo_Activos!$C$3:$C$1022,0)),"")</f>
        <v>Acciones Europa</v>
      </c>
      <c r="D111" s="10" t="str">
        <f>IFERROR(INDEX(Universo_Activos!$B$3:$B$1022,MATCH(B111,Universo_Activos!$C$3:$C$1022,0)),"")</f>
        <v>Euronext Amsterdam</v>
      </c>
      <c r="E111" s="10" t="str">
        <f>IFERROR(INDEX(Universo_Activos!$D$3:$D$1022,MATCH(B111,Universo_Activos!$C$3:$C$1022,0)),"")</f>
        <v>EURONEXT:ADYEN</v>
      </c>
      <c r="F111" s="10" t="str">
        <f>IFERROR(INDEX(Universo_Activos!$E$3:$E$1022,MATCH(B111,Universo_Activos!$C$3:$C$1022,0)),"")</f>
        <v>NL0012969182</v>
      </c>
      <c r="G111" s="11">
        <v>287.92</v>
      </c>
      <c r="H111" s="12">
        <v>0.0677</v>
      </c>
      <c r="I111" s="12">
        <v>-0.0369</v>
      </c>
      <c r="J111" s="12">
        <v>-0.0043</v>
      </c>
      <c r="K111" s="12">
        <v>-0.0597</v>
      </c>
      <c r="L111" s="12">
        <v>-0.0106</v>
      </c>
      <c r="M111" s="11">
        <v>58.545</v>
      </c>
      <c r="N111" s="11">
        <v>58.42</v>
      </c>
      <c r="O111" s="11">
        <v>58.17372261954038</v>
      </c>
      <c r="P111" s="11">
        <v>58.080903274425474</v>
      </c>
      <c r="Q111" s="11">
        <v>57.87581156831574</v>
      </c>
      <c r="R111" s="11">
        <v>57.805370680770025</v>
      </c>
      <c r="S111" s="11">
        <v>57.74587565577187</v>
      </c>
      <c r="T111" s="11">
        <v>57.71325833559929</v>
      </c>
      <c r="U111" s="11">
        <v>57.85469418721936</v>
      </c>
      <c r="V111" s="11">
        <v>57.845428337383375</v>
      </c>
      <c r="W111" s="7">
        <f t="shared" si="0"/>
      </c>
      <c r="X111" s="7">
        <f t="shared" si="1"/>
      </c>
      <c r="Y111" s="11">
        <v>58.545</v>
      </c>
      <c r="Z111" s="11">
        <v>58.155</v>
      </c>
      <c r="AA111" s="11">
        <v>57.87630850565542</v>
      </c>
      <c r="AB111" s="11">
        <v>57.70913563206928</v>
      </c>
      <c r="AC111" s="11">
        <v>57.78476209617891</v>
      </c>
      <c r="AD111" s="11">
        <v>57.70473705367142</v>
      </c>
      <c r="AE111" s="11">
        <v>57.92456170129552</v>
      </c>
      <c r="AF111" s="11">
        <v>57.899237689103494</v>
      </c>
      <c r="AG111" s="11">
        <v>58.25641449714308</v>
      </c>
      <c r="AH111" s="11">
        <v>58.25254086623225</v>
      </c>
      <c r="AI111" s="7">
        <f t="shared" si="2"/>
      </c>
      <c r="AJ111" s="7">
        <f t="shared" si="3"/>
      </c>
      <c r="AK111" s="7">
        <f>IF(W111&lt;&gt;"",IFERROR(INDEX(Niveles_Importancia!$A$3:$A$30,MATCH("Vela|"&amp;$E$5&amp;"|15 min",Niveles_Importancia!$H$3:$H$30,0)),"Sin clasificar"),IF(X111&lt;&gt;"",IFERROR(INDEX(Niveles_Importancia!$A$3:$A$30,MATCH($E$5&amp;"|"&amp;$E$6&amp;"|15 min",Niveles_Importancia!$H$3:$H$30,0)),"Sin clasificar"),IF(AI111&lt;&gt;"",IFERROR(INDEX(Niveles_Importancia!$A$3:$A$30,MATCH("Vela|"&amp;$E$5&amp;"|1 hora",Niveles_Importancia!$H$3:$H$30,0)),"Sin clasificar"),IF(AJ111&lt;&gt;"",IFERROR(INDEX(Niveles_Importancia!$A$3:$A$30,MATCH($E$5&amp;"|"&amp;$E$6&amp;"|1 hora",Niveles_Importancia!$H$3:$H$30,0)),"Sin clasificar"),""))))</f>
      </c>
      <c r="AL111" s="7">
        <f t="shared" si="4"/>
      </c>
      <c r="AM111" s="7">
        <f t="shared" si="5"/>
      </c>
    </row>
    <row r="112" spans="2:2" x14ac:dyDescent="0.25"/>
    <row r="113" ht="15.75" customHeight="1" spans="2:2" x14ac:dyDescent="0.25">
      <c r="B113" s="13"/>
    </row>
    <row r="114" ht="27.75" customHeight="1" spans="2:9" x14ac:dyDescent="0.25">
      <c r="B114" s="9" t="s">
        <v>189</v>
      </c>
      <c r="C114" s="9" t="s">
        <v>190</v>
      </c>
      <c r="D114" s="9" t="s">
        <v>53</v>
      </c>
      <c r="E114" s="9" t="s">
        <v>191</v>
      </c>
      <c r="F114" s="9" t="s">
        <v>192</v>
      </c>
      <c r="G114" s="9" t="s">
        <v>193</v>
      </c>
      <c r="H114" s="9" t="s">
        <v>194</v>
      </c>
      <c r="I114" s="9" t="s">
        <v>195</v>
      </c>
    </row>
    <row r="115" spans="2:9" x14ac:dyDescent="0.25">
      <c r="B115" s="7">
        <f t="shared" ref="B115:B127" si="36">IF($AL12="","",TEXT(NOW(),"dd/mm/yyyy hh:mm"))</f>
      </c>
      <c r="C115" s="7">
        <f t="shared" ref="C115:C127" si="37">IF($AL12="","",$B12)</f>
      </c>
      <c r="D115" s="7">
        <f t="shared" ref="D115:D127" si="38">IF($AL12="","",$D12)</f>
      </c>
      <c r="E115" s="7">
        <f t="shared" ref="E115:E127" si="39">IF($AL12="","",IF($W12&lt;&gt;"","15 min",IF($X12&lt;&gt;"","15 min",IF($AI12&lt;&gt;"","1 hora","1 hora"))))</f>
      </c>
      <c r="F115" s="7">
        <f t="shared" ref="F115:F127" si="40">IF($AL12="","",IF($W12&lt;&gt;"","Vela/Media",IF($X12&lt;&gt;"","Media/Media",IF($AI12&lt;&gt;"","Vela/Media","Media/Media"))))</f>
      </c>
      <c r="G115" s="7">
        <f t="shared" ref="G115:G127" si="41">IF($AL12="","",IF($W12&lt;&gt;"",$W12,IF($X12&lt;&gt;"",$X12,IF($AI12&lt;&gt;"",$AI12,$AJ12))))</f>
      </c>
      <c r="H115" s="7">
        <f t="shared" ref="H115:H127" si="42">IF($AL12="","",$AK12)</f>
      </c>
      <c r="I115" s="7">
        <f t="shared" ref="I115:I127" si="43">$AL12</f>
      </c>
    </row>
    <row r="116" spans="2:9" x14ac:dyDescent="0.25">
      <c r="B116" s="7">
        <f t="shared" si="36"/>
      </c>
      <c r="C116" s="7">
        <f t="shared" si="37"/>
      </c>
      <c r="D116" s="7">
        <f t="shared" si="38"/>
      </c>
      <c r="E116" s="7">
        <f t="shared" si="39"/>
      </c>
      <c r="F116" s="7">
        <f t="shared" si="40"/>
      </c>
      <c r="G116" s="7">
        <f t="shared" si="41"/>
      </c>
      <c r="H116" s="7">
        <f t="shared" si="42"/>
      </c>
      <c r="I116" s="7">
        <f t="shared" si="43"/>
      </c>
    </row>
    <row r="117" spans="2:9" x14ac:dyDescent="0.25">
      <c r="B117" s="7">
        <f t="shared" si="36"/>
      </c>
      <c r="C117" s="7">
        <f t="shared" si="37"/>
      </c>
      <c r="D117" s="7">
        <f t="shared" si="38"/>
      </c>
      <c r="E117" s="7">
        <f t="shared" si="39"/>
      </c>
      <c r="F117" s="7">
        <f t="shared" si="40"/>
      </c>
      <c r="G117" s="7">
        <f t="shared" si="41"/>
      </c>
      <c r="H117" s="7">
        <f t="shared" si="42"/>
      </c>
      <c r="I117" s="7">
        <f t="shared" si="43"/>
      </c>
    </row>
    <row r="118" spans="2:9" x14ac:dyDescent="0.25">
      <c r="B118" s="7">
        <f t="shared" si="36"/>
      </c>
      <c r="C118" s="7">
        <f t="shared" si="37"/>
      </c>
      <c r="D118" s="7">
        <f t="shared" si="38"/>
      </c>
      <c r="E118" s="7">
        <f t="shared" si="39"/>
      </c>
      <c r="F118" s="7">
        <f t="shared" si="40"/>
      </c>
      <c r="G118" s="7">
        <f t="shared" si="41"/>
      </c>
      <c r="H118" s="7">
        <f t="shared" si="42"/>
      </c>
      <c r="I118" s="7">
        <f t="shared" si="43"/>
      </c>
    </row>
    <row r="119" spans="2:9" x14ac:dyDescent="0.25">
      <c r="B119" s="7">
        <f t="shared" si="36"/>
      </c>
      <c r="C119" s="7">
        <f t="shared" si="37"/>
      </c>
      <c r="D119" s="7">
        <f t="shared" si="38"/>
      </c>
      <c r="E119" s="7">
        <f t="shared" si="39"/>
      </c>
      <c r="F119" s="7">
        <f t="shared" si="40"/>
      </c>
      <c r="G119" s="7">
        <f t="shared" si="41"/>
      </c>
      <c r="H119" s="7">
        <f t="shared" si="42"/>
      </c>
      <c r="I119" s="7">
        <f t="shared" si="43"/>
      </c>
    </row>
    <row r="120" spans="2:9" x14ac:dyDescent="0.25">
      <c r="B120" s="7">
        <f t="shared" si="36"/>
      </c>
      <c r="C120" s="7">
        <f t="shared" si="37"/>
      </c>
      <c r="D120" s="7">
        <f t="shared" si="38"/>
      </c>
      <c r="E120" s="7">
        <f t="shared" si="39"/>
      </c>
      <c r="F120" s="7">
        <f t="shared" si="40"/>
      </c>
      <c r="G120" s="7">
        <f t="shared" si="41"/>
      </c>
      <c r="H120" s="7">
        <f t="shared" si="42"/>
      </c>
      <c r="I120" s="7">
        <f t="shared" si="43"/>
      </c>
    </row>
    <row r="121" spans="2:9" x14ac:dyDescent="0.25">
      <c r="B121" s="7">
        <f t="shared" si="36"/>
      </c>
      <c r="C121" s="7">
        <f t="shared" si="37"/>
      </c>
      <c r="D121" s="7">
        <f t="shared" si="38"/>
      </c>
      <c r="E121" s="7">
        <f t="shared" si="39"/>
      </c>
      <c r="F121" s="7">
        <f t="shared" si="40"/>
      </c>
      <c r="G121" s="7">
        <f t="shared" si="41"/>
      </c>
      <c r="H121" s="7">
        <f t="shared" si="42"/>
      </c>
      <c r="I121" s="7">
        <f t="shared" si="43"/>
      </c>
    </row>
    <row r="122" spans="2:9" x14ac:dyDescent="0.25">
      <c r="B122" s="7" t="str">
        <f t="shared" si="36"/>
        <v>31/07/yyyy 20:15</v>
      </c>
      <c r="C122" s="7" t="str">
        <f t="shared" si="37"/>
        <v>Euro / Libra</v>
      </c>
      <c r="D122" s="7" t="str">
        <f t="shared" si="38"/>
        <v>OTC/Interbancario</v>
      </c>
      <c r="E122" s="7" t="str">
        <f t="shared" si="39"/>
        <v>15 min</v>
      </c>
      <c r="F122" s="7" t="str">
        <f t="shared" si="40"/>
        <v>Media/Media</v>
      </c>
      <c r="G122" s="7" t="str">
        <f t="shared" si="41"/>
        <v>ALCISTA</v>
      </c>
      <c r="H122" s="7">
        <f t="shared" si="42"/>
        <v>1</v>
      </c>
      <c r="I122" s="7" t="str">
        <f t="shared" si="43"/>
        <v>Cruce alcista detectado en Euro / Libra (OTC/Interbancario). EMA 9 ha cruzado EMA 20 en 15 min. Nivel: 1. 31/07/yyyy 20:15</v>
      </c>
    </row>
    <row r="123" spans="2:9" x14ac:dyDescent="0.25">
      <c r="B123" s="7" t="str">
        <f t="shared" si="36"/>
        <v>31/07/yyyy 20:15</v>
      </c>
      <c r="C123" s="7" t="str">
        <f t="shared" si="37"/>
        <v>Banco Santander</v>
      </c>
      <c r="D123" s="7" t="str">
        <f t="shared" si="38"/>
        <v>BME (Madrid)</v>
      </c>
      <c r="E123" s="7" t="str">
        <f t="shared" si="39"/>
        <v>15 min</v>
      </c>
      <c r="F123" s="7" t="str">
        <f t="shared" si="40"/>
        <v>Vela/Media</v>
      </c>
      <c r="G123" s="7" t="str">
        <f t="shared" si="41"/>
        <v>ALCISTA</v>
      </c>
      <c r="H123" s="7" t="str">
        <f t="shared" si="42"/>
        <v>Sin clasificar</v>
      </c>
      <c r="I123" s="7" t="str">
        <f t="shared" si="43"/>
        <v>Cruce alcista detectado en Banco Santander (BME (Madrid)). La vela ha cruzado EMA 9 en 15 min. Nivel: Sin clasificar. Precio: 012. 31/07/yyyy 20:15</v>
      </c>
    </row>
    <row r="124" spans="2:9" x14ac:dyDescent="0.25">
      <c r="B124" s="7">
        <f t="shared" si="36"/>
      </c>
      <c r="C124" s="7">
        <f t="shared" si="37"/>
      </c>
      <c r="D124" s="7">
        <f t="shared" si="38"/>
      </c>
      <c r="E124" s="7">
        <f t="shared" si="39"/>
      </c>
      <c r="F124" s="7">
        <f t="shared" si="40"/>
      </c>
      <c r="G124" s="7">
        <f t="shared" si="41"/>
      </c>
      <c r="H124" s="7">
        <f t="shared" si="42"/>
      </c>
      <c r="I124" s="7">
        <f t="shared" si="43"/>
      </c>
    </row>
    <row r="125" spans="2:9" x14ac:dyDescent="0.25">
      <c r="B125" s="7">
        <f t="shared" si="36"/>
      </c>
      <c r="C125" s="7">
        <f t="shared" si="37"/>
      </c>
      <c r="D125" s="7">
        <f t="shared" si="38"/>
      </c>
      <c r="E125" s="7">
        <f t="shared" si="39"/>
      </c>
      <c r="F125" s="7">
        <f t="shared" si="40"/>
      </c>
      <c r="G125" s="7">
        <f t="shared" si="41"/>
      </c>
      <c r="H125" s="7">
        <f t="shared" si="42"/>
      </c>
      <c r="I125" s="7">
        <f t="shared" si="43"/>
      </c>
    </row>
    <row r="126" spans="2:9" x14ac:dyDescent="0.25">
      <c r="B126" s="7">
        <f t="shared" si="36"/>
      </c>
      <c r="C126" s="7">
        <f t="shared" si="37"/>
      </c>
      <c r="D126" s="7">
        <f t="shared" si="38"/>
      </c>
      <c r="E126" s="7">
        <f t="shared" si="39"/>
      </c>
      <c r="F126" s="7">
        <f t="shared" si="40"/>
      </c>
      <c r="G126" s="7">
        <f t="shared" si="41"/>
      </c>
      <c r="H126" s="7">
        <f t="shared" si="42"/>
      </c>
      <c r="I126" s="7">
        <f t="shared" si="43"/>
      </c>
    </row>
    <row r="127" spans="2:9" x14ac:dyDescent="0.25">
      <c r="B127" s="7" t="str">
        <f t="shared" si="36"/>
        <v>31/07/yyyy 20:15</v>
      </c>
      <c r="C127" s="7" t="str">
        <f t="shared" si="37"/>
        <v>Telefónica</v>
      </c>
      <c r="D127" s="7" t="str">
        <f t="shared" si="38"/>
        <v>BME (Madrid)</v>
      </c>
      <c r="E127" s="7" t="str">
        <f t="shared" si="39"/>
        <v>1 hora</v>
      </c>
      <c r="F127" s="7" t="str">
        <f t="shared" si="40"/>
        <v>Vela/Media</v>
      </c>
      <c r="G127" s="7" t="str">
        <f t="shared" si="41"/>
        <v>ALCISTA</v>
      </c>
      <c r="H127" s="7" t="str">
        <f t="shared" si="42"/>
        <v>Sin clasificar</v>
      </c>
      <c r="I127" s="7" t="str">
        <f t="shared" si="43"/>
        <v>Cruce alcista detectado en Telefónica (BME (Madrid)). La vela ha cruzado EMA 9 en 1 hora. Nivel: Sin clasificar. 31/07/yyyy 20:15</v>
      </c>
    </row>
    <row r="128" spans="2:9" x14ac:dyDescent="0.25">
      <c r="B128" s="7" t="str">
        <f>IF($AL26="","",TEXT(NOW(),"dd/mm/yyyy hh:mm"))</f>
        <v>31/07/yyyy 20:15</v>
      </c>
      <c r="C128" s="7" t="str">
        <f>IF($AL26="","",$B26)</f>
        <v>CaixaBank </v>
      </c>
      <c r="D128" s="7" t="str">
        <f>IF($AL26="","",$D26)</f>
        <v>BME (Madrid)</v>
      </c>
      <c r="E128" s="7" t="str">
        <f>IF($AL26="","",IF($W26&lt;&gt;"","15 min",IF($X26&lt;&gt;"","15 min",IF($AI26&lt;&gt;"","1 hora","1 hora"))))</f>
        <v>1 hora</v>
      </c>
      <c r="F128" s="7" t="str">
        <f>IF($AL26="","",IF($W26&lt;&gt;"","Vela/Media",IF($X26&lt;&gt;"","Media/Media",IF($AI26&lt;&gt;"","Vela/Media","Media/Media"))))</f>
        <v>Media/Media</v>
      </c>
      <c r="G128" s="7" t="str">
        <f>IF($AL26="","",IF($W26&lt;&gt;"",$W26,IF($X26&lt;&gt;"",$X26,IF($AI26&lt;&gt;"",$AI26,$AJ26))))</f>
        <v>ALCISTA</v>
      </c>
      <c r="H128" s="7">
        <f>IF($AL26="","",$AK26)</f>
        <v>1</v>
      </c>
      <c r="I128" s="7" t="str">
        <f>$AL26</f>
        <v>Cruce alcista detectado en CaixaBank  (BME (Madrid)). EMA 9 ha cruzado EMA 20 en 1 hora. Nivel: 1. 31/07/yyyy 20:15</v>
      </c>
    </row>
    <row r="129" spans="2:9" x14ac:dyDescent="0.25">
      <c r="B129" s="7">
        <f t="shared" ref="B129" si="44">IF($AL111="","",TEXT(NOW(),"dd/mm/yyyy hh:mm"))</f>
      </c>
      <c r="C129" s="7">
        <f t="shared" ref="C129" si="45">IF($AL111="","",$B111)</f>
      </c>
      <c r="D129" s="7">
        <f t="shared" ref="D129" si="46">IF($AL111="","",$D111)</f>
      </c>
      <c r="E129" s="7">
        <f t="shared" ref="E129" si="47">IF($AL111="","",IF($W111&lt;&gt;"","15 min",IF($X111&lt;&gt;"","15 min",IF($AI111&lt;&gt;"","1 hora","1 hora"))))</f>
      </c>
      <c r="F129" s="7">
        <f t="shared" ref="F129" si="48">IF($AL111="","",IF($W111&lt;&gt;"","Vela/Media",IF($X111&lt;&gt;"","Media/Media",IF($AI111&lt;&gt;"","Vela/Media","Media/Media"))))</f>
      </c>
      <c r="G129" s="7">
        <f t="shared" ref="G129" si="49">IF($AL111="","",IF($W111&lt;&gt;"",$W111,IF($X111&lt;&gt;"",$X111,IF($AI111&lt;&gt;"",$AI111,$AJ111))))</f>
      </c>
      <c r="H129" s="7">
        <f t="shared" ref="H129" si="50">IF($AL111="","",$AK111)</f>
      </c>
      <c r="I129" s="7">
        <f t="shared" ref="I129" si="51">$AL111</f>
      </c>
    </row>
  </sheetData>
  <conditionalFormatting sqref="H12:H111">
    <cfRule type="expression" dxfId="0" priority="11">
      <formula>H12&gt;0.03</formula>
    </cfRule>
    <cfRule type="expression" dxfId="1" priority="12">
      <formula>H12&lt;-0.03</formula>
    </cfRule>
  </conditionalFormatting>
  <conditionalFormatting sqref="W12:X111">
    <cfRule type="cellIs" dxfId="2" priority="2" operator="equal">
      <formula>"ALCISTA"</formula>
    </cfRule>
    <cfRule type="cellIs" dxfId="3" priority="3" operator="equal">
      <formula>"BAJISTA"</formula>
    </cfRule>
  </conditionalFormatting>
  <conditionalFormatting sqref="AI12:AJ111">
    <cfRule type="cellIs" dxfId="4" priority="6" operator="equal">
      <formula>"ALCISTA"</formula>
    </cfRule>
    <cfRule type="cellIs" dxfId="5" priority="7" operator="equal">
      <formula>"BAJISTA"</formula>
    </cfRule>
  </conditionalFormatting>
  <conditionalFormatting sqref="AK12:AK111">
    <cfRule type="cellIs" dxfId="6" priority="10" operator="equal">
      <formula>"1"</formula>
    </cfRule>
  </conditionalFormatting>
  <dataValidations count="1">
    <dataValidation type="list" sqref="C5:C8">
      <formula1>"SMA,EMA,WMA,SMMA"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 showGridLines="0" zoomScale="100" zoomScaleNormal="100">
      <pane ySplit="2" topLeftCell="A3" activePane="bottomLeft" state="frozen"/>
      <selection pane="bottomLeft" activeCell="A22" sqref="A22"/>
    </sheetView>
  </sheetViews>
  <sheetFormatPr defaultRowHeight="15" outlineLevelRow="0" outlineLevelCol="0" x14ac:dyDescent="0" defaultColWidth="8.7109375"/>
  <cols>
    <col min="1" max="1" width="10" customWidth="1"/>
    <col min="2" max="2" width="16" customWidth="1"/>
    <col min="3" max="3" width="18" customWidth="1"/>
    <col min="4" max="4" width="16" customWidth="1"/>
    <col min="5" max="5" width="18" customWidth="1"/>
    <col min="6" max="6" width="12" customWidth="1"/>
    <col min="7" max="7" width="45" customWidth="1"/>
    <col min="8" max="8" width="24" customWidth="1"/>
  </cols>
  <sheetData>
    <row r="1" spans="1:1" x14ac:dyDescent="0.25">
      <c r="A1" s="5" t="s">
        <v>196</v>
      </c>
    </row>
    <row r="2" ht="27.75" customHeight="1" spans="1:8" x14ac:dyDescent="0.25">
      <c r="A2" s="9" t="s">
        <v>194</v>
      </c>
      <c r="B2" s="9" t="s">
        <v>197</v>
      </c>
      <c r="C2" s="9" t="s">
        <v>198</v>
      </c>
      <c r="D2" s="9" t="s">
        <v>199</v>
      </c>
      <c r="E2" s="9" t="s">
        <v>200</v>
      </c>
      <c r="F2" s="9" t="s">
        <v>191</v>
      </c>
      <c r="G2" s="9" t="s">
        <v>201</v>
      </c>
      <c r="H2" s="9" t="s">
        <v>202</v>
      </c>
    </row>
    <row r="3" spans="1:8" x14ac:dyDescent="0.25">
      <c r="A3" s="11">
        <v>1</v>
      </c>
      <c r="B3" s="11" t="s">
        <v>203</v>
      </c>
      <c r="C3" s="11" t="s">
        <v>204</v>
      </c>
      <c r="D3" s="11" t="s">
        <v>203</v>
      </c>
      <c r="E3" s="11" t="s">
        <v>205</v>
      </c>
      <c r="F3" s="11" t="s">
        <v>206</v>
      </c>
      <c r="G3" s="7" t="s">
        <v>207</v>
      </c>
      <c r="H3" s="7" t="s">
        <v>208</v>
      </c>
    </row>
    <row r="4" spans="1:8" x14ac:dyDescent="0.25">
      <c r="A4" s="11">
        <v>1</v>
      </c>
      <c r="B4" s="11" t="s">
        <v>203</v>
      </c>
      <c r="C4" s="11" t="s">
        <v>204</v>
      </c>
      <c r="D4" s="11" t="s">
        <v>203</v>
      </c>
      <c r="E4" s="11" t="s">
        <v>205</v>
      </c>
      <c r="F4" s="11" t="s">
        <v>209</v>
      </c>
      <c r="G4" s="7" t="s">
        <v>210</v>
      </c>
      <c r="H4" s="7" t="s">
        <v>211</v>
      </c>
    </row>
    <row r="5" spans="1:8" x14ac:dyDescent="0.25">
      <c r="A5" s="11">
        <v>1</v>
      </c>
      <c r="B5" s="11" t="s">
        <v>203</v>
      </c>
      <c r="C5" s="11" t="s">
        <v>204</v>
      </c>
      <c r="D5" s="11" t="s">
        <v>203</v>
      </c>
      <c r="E5" s="11" t="s">
        <v>205</v>
      </c>
      <c r="F5" s="11" t="s">
        <v>212</v>
      </c>
      <c r="G5" s="7" t="s">
        <v>213</v>
      </c>
      <c r="H5" s="7" t="s">
        <v>214</v>
      </c>
    </row>
    <row r="6" spans="1:8" x14ac:dyDescent="0.25">
      <c r="A6" s="11">
        <v>2</v>
      </c>
      <c r="B6" s="11" t="s">
        <v>203</v>
      </c>
      <c r="C6" s="11" t="s">
        <v>204</v>
      </c>
      <c r="D6" s="11" t="s">
        <v>203</v>
      </c>
      <c r="E6" s="11" t="s">
        <v>215</v>
      </c>
      <c r="F6" s="11" t="s">
        <v>206</v>
      </c>
      <c r="G6" s="7" t="s">
        <v>216</v>
      </c>
      <c r="H6" s="7" t="s">
        <v>217</v>
      </c>
    </row>
    <row r="7" spans="1:8" x14ac:dyDescent="0.25">
      <c r="A7" s="11">
        <v>2</v>
      </c>
      <c r="B7" s="11" t="s">
        <v>203</v>
      </c>
      <c r="C7" s="11" t="s">
        <v>204</v>
      </c>
      <c r="D7" s="11" t="s">
        <v>203</v>
      </c>
      <c r="E7" s="11" t="s">
        <v>215</v>
      </c>
      <c r="F7" s="11" t="s">
        <v>209</v>
      </c>
      <c r="G7" s="7" t="s">
        <v>218</v>
      </c>
      <c r="H7" s="7" t="s">
        <v>219</v>
      </c>
    </row>
    <row r="8" spans="1:8" x14ac:dyDescent="0.25">
      <c r="A8" s="11">
        <v>2</v>
      </c>
      <c r="B8" s="11" t="s">
        <v>203</v>
      </c>
      <c r="C8" s="11" t="s">
        <v>204</v>
      </c>
      <c r="D8" s="11" t="s">
        <v>203</v>
      </c>
      <c r="E8" s="11" t="s">
        <v>215</v>
      </c>
      <c r="F8" s="11" t="s">
        <v>212</v>
      </c>
      <c r="G8" s="7" t="s">
        <v>220</v>
      </c>
      <c r="H8" s="7" t="s">
        <v>221</v>
      </c>
    </row>
    <row r="9" spans="1:8" x14ac:dyDescent="0.25">
      <c r="A9" s="14">
        <v>3</v>
      </c>
      <c r="B9" s="14" t="s">
        <v>203</v>
      </c>
      <c r="C9" s="14" t="s">
        <v>204</v>
      </c>
      <c r="D9" s="14" t="s">
        <v>203</v>
      </c>
      <c r="E9" s="14" t="s">
        <v>222</v>
      </c>
      <c r="F9" s="14" t="s">
        <v>206</v>
      </c>
      <c r="G9" s="14" t="s">
        <v>223</v>
      </c>
      <c r="H9" s="7" t="s">
        <v>224</v>
      </c>
    </row>
    <row r="10" spans="1:8" x14ac:dyDescent="0.25">
      <c r="A10" s="14">
        <v>3</v>
      </c>
      <c r="B10" s="14" t="s">
        <v>203</v>
      </c>
      <c r="C10" s="14" t="s">
        <v>204</v>
      </c>
      <c r="D10" s="14" t="s">
        <v>203</v>
      </c>
      <c r="E10" s="14" t="s">
        <v>222</v>
      </c>
      <c r="F10" s="14" t="s">
        <v>209</v>
      </c>
      <c r="G10" s="14" t="s">
        <v>225</v>
      </c>
      <c r="H10" s="7" t="s">
        <v>226</v>
      </c>
    </row>
    <row r="11" spans="1:8" x14ac:dyDescent="0.25">
      <c r="A11" s="14">
        <v>3</v>
      </c>
      <c r="B11" s="14" t="s">
        <v>203</v>
      </c>
      <c r="C11" s="14" t="s">
        <v>204</v>
      </c>
      <c r="D11" s="14" t="s">
        <v>203</v>
      </c>
      <c r="E11" s="14" t="s">
        <v>222</v>
      </c>
      <c r="F11" s="14" t="s">
        <v>212</v>
      </c>
      <c r="G11" s="14" t="s">
        <v>227</v>
      </c>
      <c r="H11" s="7" t="s">
        <v>228</v>
      </c>
    </row>
    <row r="12" spans="1:8" x14ac:dyDescent="0.25">
      <c r="A12" s="14">
        <v>4</v>
      </c>
      <c r="B12" s="14" t="s">
        <v>203</v>
      </c>
      <c r="C12" s="14" t="s">
        <v>205</v>
      </c>
      <c r="D12" s="14" t="s">
        <v>203</v>
      </c>
      <c r="E12" s="14" t="s">
        <v>215</v>
      </c>
      <c r="F12" s="14" t="s">
        <v>206</v>
      </c>
      <c r="G12" s="14" t="s">
        <v>229</v>
      </c>
      <c r="H12" s="7" t="s">
        <v>230</v>
      </c>
    </row>
    <row r="13" spans="1:8" x14ac:dyDescent="0.25">
      <c r="A13" s="14">
        <v>4</v>
      </c>
      <c r="B13" s="14" t="s">
        <v>203</v>
      </c>
      <c r="C13" s="14" t="s">
        <v>205</v>
      </c>
      <c r="D13" s="14" t="s">
        <v>203</v>
      </c>
      <c r="E13" s="14" t="s">
        <v>215</v>
      </c>
      <c r="F13" s="14" t="s">
        <v>209</v>
      </c>
      <c r="G13" s="14" t="s">
        <v>231</v>
      </c>
      <c r="H13" s="7" t="s">
        <v>232</v>
      </c>
    </row>
    <row r="14" spans="1:8" x14ac:dyDescent="0.25">
      <c r="A14" s="14">
        <v>4</v>
      </c>
      <c r="B14" s="14" t="s">
        <v>203</v>
      </c>
      <c r="C14" s="14" t="s">
        <v>205</v>
      </c>
      <c r="D14" s="14" t="s">
        <v>203</v>
      </c>
      <c r="E14" s="14" t="s">
        <v>215</v>
      </c>
      <c r="F14" s="14" t="s">
        <v>212</v>
      </c>
      <c r="G14" s="14" t="s">
        <v>233</v>
      </c>
      <c r="H14" s="7" t="s">
        <v>234</v>
      </c>
    </row>
    <row r="15" spans="1:8" x14ac:dyDescent="0.25">
      <c r="A15" s="14">
        <v>5</v>
      </c>
      <c r="B15" s="14" t="s">
        <v>203</v>
      </c>
      <c r="C15" s="14" t="s">
        <v>205</v>
      </c>
      <c r="D15" s="14" t="s">
        <v>203</v>
      </c>
      <c r="E15" s="14" t="s">
        <v>222</v>
      </c>
      <c r="F15" s="14" t="s">
        <v>206</v>
      </c>
      <c r="G15" s="14" t="s">
        <v>235</v>
      </c>
      <c r="H15" s="7" t="s">
        <v>236</v>
      </c>
    </row>
    <row r="16" spans="1:8" x14ac:dyDescent="0.25">
      <c r="A16" s="14">
        <v>5</v>
      </c>
      <c r="B16" s="14" t="s">
        <v>203</v>
      </c>
      <c r="C16" s="14" t="s">
        <v>205</v>
      </c>
      <c r="D16" s="14" t="s">
        <v>203</v>
      </c>
      <c r="E16" s="14" t="s">
        <v>222</v>
      </c>
      <c r="F16" s="14" t="s">
        <v>209</v>
      </c>
      <c r="G16" s="14" t="s">
        <v>237</v>
      </c>
      <c r="H16" s="7" t="s">
        <v>238</v>
      </c>
    </row>
    <row r="17" spans="1:8" x14ac:dyDescent="0.25">
      <c r="A17" s="14">
        <v>5</v>
      </c>
      <c r="B17" s="14" t="s">
        <v>203</v>
      </c>
      <c r="C17" s="14" t="s">
        <v>205</v>
      </c>
      <c r="D17" s="14" t="s">
        <v>203</v>
      </c>
      <c r="E17" s="14" t="s">
        <v>222</v>
      </c>
      <c r="F17" s="14" t="s">
        <v>212</v>
      </c>
      <c r="G17" s="14" t="s">
        <v>239</v>
      </c>
      <c r="H17" s="7" t="s">
        <v>240</v>
      </c>
    </row>
    <row r="18" spans="1:8" x14ac:dyDescent="0.25">
      <c r="A18" s="14">
        <v>6</v>
      </c>
      <c r="B18" s="14" t="s">
        <v>203</v>
      </c>
      <c r="C18" s="14" t="s">
        <v>215</v>
      </c>
      <c r="D18" s="14" t="s">
        <v>203</v>
      </c>
      <c r="E18" s="14" t="s">
        <v>222</v>
      </c>
      <c r="F18" s="14" t="s">
        <v>206</v>
      </c>
      <c r="G18" s="14" t="s">
        <v>241</v>
      </c>
      <c r="H18" s="7" t="s">
        <v>242</v>
      </c>
    </row>
    <row r="19" spans="1:8" x14ac:dyDescent="0.25">
      <c r="A19" s="14">
        <v>6</v>
      </c>
      <c r="B19" s="14" t="s">
        <v>203</v>
      </c>
      <c r="C19" s="14" t="s">
        <v>215</v>
      </c>
      <c r="D19" s="14" t="s">
        <v>203</v>
      </c>
      <c r="E19" s="14" t="s">
        <v>222</v>
      </c>
      <c r="F19" s="14" t="s">
        <v>209</v>
      </c>
      <c r="G19" s="14" t="s">
        <v>243</v>
      </c>
      <c r="H19" s="7" t="s">
        <v>244</v>
      </c>
    </row>
    <row r="20" spans="1:8" x14ac:dyDescent="0.25">
      <c r="A20" s="14">
        <v>6</v>
      </c>
      <c r="B20" s="14" t="s">
        <v>203</v>
      </c>
      <c r="C20" s="14" t="s">
        <v>215</v>
      </c>
      <c r="D20" s="14" t="s">
        <v>203</v>
      </c>
      <c r="E20" s="14" t="s">
        <v>222</v>
      </c>
      <c r="F20" s="14" t="s">
        <v>212</v>
      </c>
      <c r="G20" s="14" t="s">
        <v>245</v>
      </c>
      <c r="H20" s="7" t="s">
        <v>246</v>
      </c>
    </row>
    <row r="21" spans="1:8" x14ac:dyDescent="0.25">
      <c r="A21" s="14">
        <v>7</v>
      </c>
      <c r="B21" s="14" t="s">
        <v>203</v>
      </c>
      <c r="C21" s="14" t="s">
        <v>247</v>
      </c>
      <c r="D21" s="14" t="s">
        <v>248</v>
      </c>
      <c r="E21" s="14" t="s">
        <v>248</v>
      </c>
      <c r="F21" s="14" t="s">
        <v>212</v>
      </c>
      <c r="G21" s="14" t="s">
        <v>245</v>
      </c>
      <c r="H21" s="7" t="str">
        <f t="shared" ref="H21:H30" si="0">IF(C21="","",C21&amp;"|"&amp;E21&amp;"|"&amp;F21)</f>
        <v>EMA 200|Vela|4 horas</v>
      </c>
    </row>
    <row r="22" spans="1:8" x14ac:dyDescent="0.25">
      <c r="A22" s="14"/>
      <c r="B22" s="14"/>
      <c r="C22" s="14"/>
      <c r="D22" s="14"/>
      <c r="E22" s="14"/>
      <c r="F22" s="14"/>
      <c r="G22" s="14"/>
      <c r="H22" s="7">
        <f t="shared" si="0"/>
      </c>
    </row>
    <row r="23" spans="1:8" x14ac:dyDescent="0.25">
      <c r="A23" s="14"/>
      <c r="B23" s="14"/>
      <c r="C23" s="14"/>
      <c r="D23" s="14"/>
      <c r="E23" s="14"/>
      <c r="F23" s="14"/>
      <c r="G23" s="14"/>
      <c r="H23" s="7">
        <f t="shared" si="0"/>
      </c>
    </row>
    <row r="24" spans="1:8" x14ac:dyDescent="0.25">
      <c r="A24" s="14"/>
      <c r="B24" s="14"/>
      <c r="C24" s="14"/>
      <c r="D24" s="14"/>
      <c r="E24" s="14"/>
      <c r="F24" s="14"/>
      <c r="G24" s="14"/>
      <c r="H24" s="7">
        <f t="shared" si="0"/>
      </c>
    </row>
    <row r="25" spans="1:8" x14ac:dyDescent="0.25">
      <c r="A25" s="14"/>
      <c r="B25" s="14"/>
      <c r="C25" s="14"/>
      <c r="D25" s="14"/>
      <c r="E25" s="14"/>
      <c r="F25" s="14"/>
      <c r="G25" s="14"/>
      <c r="H25" s="7">
        <f t="shared" si="0"/>
      </c>
    </row>
    <row r="26" spans="1:8" x14ac:dyDescent="0.25">
      <c r="A26" s="14"/>
      <c r="B26" s="14"/>
      <c r="C26" s="14"/>
      <c r="D26" s="14"/>
      <c r="E26" s="14"/>
      <c r="F26" s="14"/>
      <c r="G26" s="14"/>
      <c r="H26" s="7">
        <f t="shared" si="0"/>
      </c>
    </row>
    <row r="27" spans="1:8" x14ac:dyDescent="0.25">
      <c r="A27" s="14"/>
      <c r="B27" s="14"/>
      <c r="C27" s="14"/>
      <c r="D27" s="14"/>
      <c r="E27" s="14"/>
      <c r="F27" s="14"/>
      <c r="G27" s="14"/>
      <c r="H27" s="7">
        <f t="shared" si="0"/>
      </c>
    </row>
    <row r="28" spans="1:8" x14ac:dyDescent="0.25">
      <c r="A28" s="14"/>
      <c r="B28" s="14"/>
      <c r="C28" s="14"/>
      <c r="D28" s="14"/>
      <c r="E28" s="14"/>
      <c r="F28" s="14"/>
      <c r="G28" s="14"/>
      <c r="H28" s="7">
        <f t="shared" si="0"/>
      </c>
    </row>
    <row r="29" spans="1:8" x14ac:dyDescent="0.25">
      <c r="A29" s="14"/>
      <c r="B29" s="14"/>
      <c r="C29" s="14"/>
      <c r="D29" s="14"/>
      <c r="E29" s="14"/>
      <c r="F29" s="14"/>
      <c r="G29" s="14"/>
      <c r="H29" s="7">
        <f t="shared" si="0"/>
      </c>
    </row>
    <row r="30" spans="1:8" x14ac:dyDescent="0.25">
      <c r="A30" s="14"/>
      <c r="B30" s="14"/>
      <c r="C30" s="14"/>
      <c r="D30" s="14"/>
      <c r="E30" s="14"/>
      <c r="F30" s="14"/>
      <c r="G30" s="14"/>
      <c r="H30" s="7">
        <f t="shared" si="0"/>
      </c>
    </row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</sheetData>
  <dataValidations count="10">
    <dataValidation type="list" allowBlank="1" sqref="B10:B30">
      <formula1>"Vela,Media móvil"</formula1>
      <formula2>0</formula2>
    </dataValidation>
    <dataValidation type="list" allowBlank="1" sqref="B3:B30">
      <formula1>"Vela,Media móvil"</formula1>
      <formula2>0</formula2>
    </dataValidation>
    <dataValidation type="list" allowBlank="1" sqref="C10:C30">
      <formula1>"Vela,SMA 10,SMA 20,SMA 50,SMA 100,SMA 200,EMA 10,EMA 20,EMA 50,EMA 100,EMA 200,WMA 20,WMA 50,SMMA 20,SMMA 50"</formula1>
      <formula2>0</formula2>
    </dataValidation>
    <dataValidation type="list" allowBlank="1" sqref="C3:C30">
      <formula1>"Vela,SMA 10,SMA 20,SMA 50,SMA 100,SMA 200,EMA 10,EMA 20,EMA 50,EMA 100,EMA 200,WMA 20,WMA 50,SMMA 20,SMMA 50"</formula1>
      <formula2>0</formula2>
    </dataValidation>
    <dataValidation type="list" allowBlank="1" sqref="D10:D30">
      <formula1>"Vela,Media móvil"</formula1>
      <formula2>0</formula2>
    </dataValidation>
    <dataValidation type="list" allowBlank="1" sqref="D3:D30">
      <formula1>"Vela,Media móvil"</formula1>
      <formula2>0</formula2>
    </dataValidation>
    <dataValidation type="list" allowBlank="1" sqref="E10:E30">
      <formula1>"Vela,SMA 10,SMA 20,SMA 50,SMA 100,SMA 200,EMA 10,EMA 20,EMA 50,EMA 100,EMA 200,WMA 20,WMA 50,SMMA 20,SMMA 50"</formula1>
      <formula2>0</formula2>
    </dataValidation>
    <dataValidation type="list" allowBlank="1" sqref="E3:E30">
      <formula1>"Vela,SMA 10,SMA 20,SMA 50,SMA 100,SMA 200,EMA 10,EMA 20,EMA 50,EMA 100,EMA 200,WMA 20,WMA 50,SMMA 20,SMMA 50"</formula1>
      <formula2>0</formula2>
    </dataValidation>
    <dataValidation type="list" allowBlank="1" sqref="F10:F30">
      <formula1>"15 min,30 min,1 hora,4 horas"</formula1>
      <formula2>0</formula2>
    </dataValidation>
    <dataValidation type="list" allowBlank="1" sqref="F3:F30">
      <formula1>"15 min,30 min,1 hora,4 horas"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2"/>
  <sheetViews>
    <sheetView workbookViewId="0" showGridLines="0" zoomScale="100" zoomScaleNormal="100">
      <pane ySplit="2" topLeftCell="A611" activePane="bottomLeft" state="frozen"/>
      <selection pane="bottomLeft" activeCell="D611" sqref="D611"/>
    </sheetView>
  </sheetViews>
  <sheetFormatPr defaultRowHeight="15" outlineLevelRow="0" outlineLevelCol="0" x14ac:dyDescent="0" defaultColWidth="8.7109375"/>
  <cols>
    <col min="1" max="1" width="16" customWidth="1"/>
    <col min="2" max="2" width="18" customWidth="1"/>
    <col min="3" max="3" width="30" customWidth="1"/>
    <col min="4" max="5" width="16" customWidth="1"/>
    <col min="6" max="6" width="10" customWidth="1"/>
    <col min="7" max="7" width="26" customWidth="1"/>
    <col min="8" max="8" width="16" customWidth="1"/>
  </cols>
  <sheetData>
    <row r="1" spans="1:1" x14ac:dyDescent="0.25">
      <c r="A1" s="5" t="s">
        <v>249</v>
      </c>
    </row>
    <row r="2" ht="27.75" customHeight="1" spans="1:8" x14ac:dyDescent="0.25">
      <c r="A2" s="9" t="s">
        <v>52</v>
      </c>
      <c r="B2" s="9" t="s">
        <v>250</v>
      </c>
      <c r="C2" s="9" t="s">
        <v>251</v>
      </c>
      <c r="D2" s="9" t="s">
        <v>252</v>
      </c>
      <c r="E2" s="9" t="s">
        <v>55</v>
      </c>
      <c r="F2" s="9" t="s">
        <v>253</v>
      </c>
      <c r="G2" s="9" t="s">
        <v>254</v>
      </c>
      <c r="H2" s="9" t="s">
        <v>255</v>
      </c>
    </row>
    <row r="3" spans="1:8" x14ac:dyDescent="0.25">
      <c r="A3" s="11" t="s">
        <v>256</v>
      </c>
      <c r="B3" s="11" t="s">
        <v>257</v>
      </c>
      <c r="C3" s="11" t="s">
        <v>100</v>
      </c>
      <c r="D3" s="11" t="s">
        <v>258</v>
      </c>
      <c r="E3" s="11" t="s">
        <v>259</v>
      </c>
      <c r="F3" s="11" t="s">
        <v>260</v>
      </c>
      <c r="G3" s="11" t="s">
        <v>261</v>
      </c>
      <c r="H3" s="11" t="s">
        <v>190</v>
      </c>
    </row>
    <row r="4" spans="1:8" x14ac:dyDescent="0.25">
      <c r="A4" s="11" t="s">
        <v>256</v>
      </c>
      <c r="B4" s="11" t="s">
        <v>257</v>
      </c>
      <c r="C4" s="11" t="s">
        <v>99</v>
      </c>
      <c r="D4" s="11" t="s">
        <v>262</v>
      </c>
      <c r="E4" s="11" t="s">
        <v>263</v>
      </c>
      <c r="F4" s="11" t="s">
        <v>260</v>
      </c>
      <c r="G4" s="11" t="s">
        <v>261</v>
      </c>
      <c r="H4" s="11" t="s">
        <v>190</v>
      </c>
    </row>
    <row r="5" spans="1:8" x14ac:dyDescent="0.25">
      <c r="A5" s="11" t="s">
        <v>256</v>
      </c>
      <c r="B5" s="11" t="s">
        <v>257</v>
      </c>
      <c r="C5" s="11" t="s">
        <v>97</v>
      </c>
      <c r="D5" s="11" t="s">
        <v>264</v>
      </c>
      <c r="E5" s="11" t="s">
        <v>265</v>
      </c>
      <c r="F5" s="11" t="s">
        <v>260</v>
      </c>
      <c r="G5" s="11" t="s">
        <v>261</v>
      </c>
      <c r="H5" s="11" t="s">
        <v>190</v>
      </c>
    </row>
    <row r="6" spans="1:8" x14ac:dyDescent="0.25">
      <c r="A6" s="11" t="s">
        <v>266</v>
      </c>
      <c r="B6" s="11" t="s">
        <v>267</v>
      </c>
      <c r="C6" s="11" t="s">
        <v>268</v>
      </c>
      <c r="D6" s="11" t="s">
        <v>269</v>
      </c>
      <c r="E6" s="11" t="s">
        <v>270</v>
      </c>
      <c r="F6" s="11" t="s">
        <v>260</v>
      </c>
      <c r="G6" s="11" t="s">
        <v>261</v>
      </c>
      <c r="H6" s="11" t="s">
        <v>190</v>
      </c>
    </row>
    <row r="7" spans="1:8" x14ac:dyDescent="0.25">
      <c r="A7" s="11" t="s">
        <v>266</v>
      </c>
      <c r="B7" s="11" t="s">
        <v>271</v>
      </c>
      <c r="C7" s="11" t="s">
        <v>272</v>
      </c>
      <c r="D7" s="11" t="s">
        <v>273</v>
      </c>
      <c r="E7" s="11" t="s">
        <v>274</v>
      </c>
      <c r="F7" s="11" t="s">
        <v>260</v>
      </c>
      <c r="G7" s="11" t="s">
        <v>261</v>
      </c>
      <c r="H7" s="11" t="s">
        <v>190</v>
      </c>
    </row>
    <row r="8" spans="1:8" x14ac:dyDescent="0.25">
      <c r="A8" s="11" t="s">
        <v>275</v>
      </c>
      <c r="B8" s="11" t="s">
        <v>276</v>
      </c>
      <c r="C8" s="11" t="s">
        <v>277</v>
      </c>
      <c r="D8" s="11" t="s">
        <v>278</v>
      </c>
      <c r="E8" s="11" t="s">
        <v>279</v>
      </c>
      <c r="F8" s="11" t="s">
        <v>280</v>
      </c>
      <c r="G8" s="11" t="s">
        <v>261</v>
      </c>
      <c r="H8" s="11" t="s">
        <v>190</v>
      </c>
    </row>
    <row r="9" spans="1:8" x14ac:dyDescent="0.25">
      <c r="A9" s="11" t="s">
        <v>275</v>
      </c>
      <c r="B9" s="11" t="s">
        <v>276</v>
      </c>
      <c r="C9" s="11" t="s">
        <v>281</v>
      </c>
      <c r="D9" s="11" t="s">
        <v>282</v>
      </c>
      <c r="E9" s="11" t="s">
        <v>283</v>
      </c>
      <c r="F9" s="11" t="s">
        <v>280</v>
      </c>
      <c r="G9" s="11" t="s">
        <v>261</v>
      </c>
      <c r="H9" s="11" t="s">
        <v>190</v>
      </c>
    </row>
    <row r="10" spans="1:8" x14ac:dyDescent="0.25">
      <c r="A10" s="11" t="s">
        <v>275</v>
      </c>
      <c r="B10" s="11" t="s">
        <v>276</v>
      </c>
      <c r="C10" s="11" t="s">
        <v>284</v>
      </c>
      <c r="D10" s="11" t="s">
        <v>285</v>
      </c>
      <c r="E10" s="11" t="s">
        <v>286</v>
      </c>
      <c r="F10" s="11" t="s">
        <v>280</v>
      </c>
      <c r="G10" s="11" t="s">
        <v>261</v>
      </c>
      <c r="H10" s="11" t="s">
        <v>190</v>
      </c>
    </row>
    <row r="11" spans="1:8" x14ac:dyDescent="0.25">
      <c r="A11" s="11" t="s">
        <v>287</v>
      </c>
      <c r="B11" s="11" t="s">
        <v>288</v>
      </c>
      <c r="C11" s="11" t="s">
        <v>89</v>
      </c>
      <c r="D11" s="11" t="s">
        <v>289</v>
      </c>
      <c r="E11" s="11" t="s">
        <v>290</v>
      </c>
      <c r="F11" s="11" t="s">
        <v>280</v>
      </c>
      <c r="G11" s="11" t="s">
        <v>291</v>
      </c>
      <c r="H11" s="11" t="s">
        <v>190</v>
      </c>
    </row>
    <row r="12" spans="1:8" x14ac:dyDescent="0.25">
      <c r="A12" s="11" t="s">
        <v>287</v>
      </c>
      <c r="B12" s="11" t="s">
        <v>288</v>
      </c>
      <c r="C12" s="11" t="s">
        <v>90</v>
      </c>
      <c r="D12" s="11" t="s">
        <v>292</v>
      </c>
      <c r="E12" s="11" t="s">
        <v>290</v>
      </c>
      <c r="F12" s="11" t="s">
        <v>280</v>
      </c>
      <c r="G12" s="11" t="s">
        <v>291</v>
      </c>
      <c r="H12" s="11" t="s">
        <v>190</v>
      </c>
    </row>
    <row r="13" spans="1:8" x14ac:dyDescent="0.25">
      <c r="A13" s="11" t="s">
        <v>293</v>
      </c>
      <c r="B13" s="11" t="s">
        <v>294</v>
      </c>
      <c r="C13" s="11" t="s">
        <v>116</v>
      </c>
      <c r="D13" s="11" t="s">
        <v>295</v>
      </c>
      <c r="E13" s="11" t="s">
        <v>296</v>
      </c>
      <c r="F13" s="11" t="s">
        <v>280</v>
      </c>
      <c r="G13" s="11" t="s">
        <v>297</v>
      </c>
      <c r="H13" s="11" t="s">
        <v>190</v>
      </c>
    </row>
    <row r="14" spans="1:8" x14ac:dyDescent="0.25">
      <c r="A14" s="11" t="s">
        <v>293</v>
      </c>
      <c r="B14" s="11" t="s">
        <v>294</v>
      </c>
      <c r="C14" s="11" t="s">
        <v>117</v>
      </c>
      <c r="D14" s="11" t="s">
        <v>298</v>
      </c>
      <c r="E14" s="11" t="s">
        <v>296</v>
      </c>
      <c r="F14" s="11" t="s">
        <v>280</v>
      </c>
      <c r="G14" s="11" t="s">
        <v>297</v>
      </c>
      <c r="H14" s="11" t="s">
        <v>190</v>
      </c>
    </row>
    <row r="15" spans="1:8" x14ac:dyDescent="0.25">
      <c r="A15" s="11" t="s">
        <v>299</v>
      </c>
      <c r="B15" s="11" t="s">
        <v>300</v>
      </c>
      <c r="C15" s="11" t="s">
        <v>301</v>
      </c>
      <c r="D15" s="11" t="s">
        <v>302</v>
      </c>
      <c r="E15" s="11" t="s">
        <v>303</v>
      </c>
      <c r="F15" s="11" t="s">
        <v>280</v>
      </c>
      <c r="G15" s="11" t="s">
        <v>261</v>
      </c>
      <c r="H15" s="11" t="s">
        <v>190</v>
      </c>
    </row>
    <row r="16" spans="1:8" x14ac:dyDescent="0.25">
      <c r="A16" s="11" t="s">
        <v>304</v>
      </c>
      <c r="B16" s="11" t="s">
        <v>305</v>
      </c>
      <c r="C16" s="11" t="s">
        <v>124</v>
      </c>
      <c r="D16" s="11" t="s">
        <v>306</v>
      </c>
      <c r="E16" s="11"/>
      <c r="F16" s="11" t="s">
        <v>280</v>
      </c>
      <c r="G16" s="11" t="s">
        <v>307</v>
      </c>
      <c r="H16" s="11" t="s">
        <v>190</v>
      </c>
    </row>
    <row r="17" spans="1:8" x14ac:dyDescent="0.25">
      <c r="A17" s="11" t="s">
        <v>304</v>
      </c>
      <c r="B17" s="11" t="s">
        <v>305</v>
      </c>
      <c r="C17" s="11" t="s">
        <v>125</v>
      </c>
      <c r="D17" s="11" t="s">
        <v>308</v>
      </c>
      <c r="E17" s="11"/>
      <c r="F17" s="11" t="s">
        <v>280</v>
      </c>
      <c r="G17" s="11" t="s">
        <v>307</v>
      </c>
      <c r="H17" s="11" t="s">
        <v>190</v>
      </c>
    </row>
    <row r="18" spans="1:8" x14ac:dyDescent="0.25">
      <c r="A18" s="11" t="s">
        <v>309</v>
      </c>
      <c r="B18" s="11" t="s">
        <v>310</v>
      </c>
      <c r="C18" s="11" t="s">
        <v>126</v>
      </c>
      <c r="D18" s="11" t="s">
        <v>311</v>
      </c>
      <c r="E18" s="11"/>
      <c r="F18" s="11" t="s">
        <v>280</v>
      </c>
      <c r="G18" s="11" t="s">
        <v>307</v>
      </c>
      <c r="H18" s="11" t="s">
        <v>190</v>
      </c>
    </row>
    <row r="19" spans="1:8" x14ac:dyDescent="0.25">
      <c r="A19" s="11" t="s">
        <v>312</v>
      </c>
      <c r="B19" s="11" t="s">
        <v>310</v>
      </c>
      <c r="C19" s="11" t="s">
        <v>127</v>
      </c>
      <c r="D19" s="11" t="s">
        <v>313</v>
      </c>
      <c r="E19" s="11"/>
      <c r="F19" s="11" t="s">
        <v>280</v>
      </c>
      <c r="G19" s="11" t="s">
        <v>307</v>
      </c>
      <c r="H19" s="11" t="s">
        <v>190</v>
      </c>
    </row>
    <row r="20" spans="1:8" x14ac:dyDescent="0.25">
      <c r="A20" s="11" t="s">
        <v>312</v>
      </c>
      <c r="B20" s="11" t="s">
        <v>314</v>
      </c>
      <c r="C20" s="11" t="s">
        <v>315</v>
      </c>
      <c r="D20" s="11" t="s">
        <v>316</v>
      </c>
      <c r="E20" s="11"/>
      <c r="F20" s="11" t="s">
        <v>280</v>
      </c>
      <c r="G20" s="11" t="s">
        <v>307</v>
      </c>
      <c r="H20" s="11" t="s">
        <v>190</v>
      </c>
    </row>
    <row r="21" spans="1:8" x14ac:dyDescent="0.25">
      <c r="A21" s="11" t="s">
        <v>317</v>
      </c>
      <c r="B21" s="11" t="s">
        <v>314</v>
      </c>
      <c r="C21" s="11" t="s">
        <v>128</v>
      </c>
      <c r="D21" s="11" t="s">
        <v>318</v>
      </c>
      <c r="E21" s="11"/>
      <c r="F21" s="11" t="s">
        <v>280</v>
      </c>
      <c r="G21" s="11" t="s">
        <v>307</v>
      </c>
      <c r="H21" s="11" t="s">
        <v>190</v>
      </c>
    </row>
    <row r="22" spans="1:8" x14ac:dyDescent="0.25">
      <c r="A22" s="11" t="s">
        <v>319</v>
      </c>
      <c r="B22" s="11" t="s">
        <v>320</v>
      </c>
      <c r="C22" s="11" t="s">
        <v>129</v>
      </c>
      <c r="D22" s="11" t="s">
        <v>321</v>
      </c>
      <c r="E22" s="11"/>
      <c r="F22" s="11" t="s">
        <v>280</v>
      </c>
      <c r="G22" s="11" t="s">
        <v>307</v>
      </c>
      <c r="H22" s="11" t="s">
        <v>190</v>
      </c>
    </row>
    <row r="23" spans="1:8" x14ac:dyDescent="0.25">
      <c r="A23" s="11" t="s">
        <v>256</v>
      </c>
      <c r="B23" s="11" t="s">
        <v>257</v>
      </c>
      <c r="C23" s="11" t="s">
        <v>97</v>
      </c>
      <c r="D23" s="11" t="s">
        <v>264</v>
      </c>
      <c r="E23" s="11" t="s">
        <v>265</v>
      </c>
      <c r="F23" s="11" t="s">
        <v>260</v>
      </c>
      <c r="G23" s="11" t="s">
        <v>261</v>
      </c>
      <c r="H23" s="11" t="s">
        <v>190</v>
      </c>
    </row>
    <row r="24" spans="1:8" x14ac:dyDescent="0.25">
      <c r="A24" s="11" t="s">
        <v>256</v>
      </c>
      <c r="B24" s="11" t="s">
        <v>257</v>
      </c>
      <c r="C24" s="11" t="s">
        <v>98</v>
      </c>
      <c r="D24" s="11" t="s">
        <v>322</v>
      </c>
      <c r="E24" s="11" t="s">
        <v>323</v>
      </c>
      <c r="F24" s="11" t="s">
        <v>260</v>
      </c>
      <c r="G24" s="11" t="s">
        <v>261</v>
      </c>
      <c r="H24" s="11" t="s">
        <v>190</v>
      </c>
    </row>
    <row r="25" spans="1:8" x14ac:dyDescent="0.25">
      <c r="A25" s="11" t="s">
        <v>256</v>
      </c>
      <c r="B25" s="11" t="s">
        <v>257</v>
      </c>
      <c r="C25" s="11" t="s">
        <v>99</v>
      </c>
      <c r="D25" s="11" t="s">
        <v>262</v>
      </c>
      <c r="E25" s="11" t="s">
        <v>263</v>
      </c>
      <c r="F25" s="11" t="s">
        <v>260</v>
      </c>
      <c r="G25" s="11" t="s">
        <v>261</v>
      </c>
      <c r="H25" s="11" t="s">
        <v>190</v>
      </c>
    </row>
    <row r="26" spans="1:8" x14ac:dyDescent="0.25">
      <c r="A26" s="11" t="s">
        <v>256</v>
      </c>
      <c r="B26" s="11" t="s">
        <v>257</v>
      </c>
      <c r="C26" s="11" t="s">
        <v>100</v>
      </c>
      <c r="D26" s="11" t="s">
        <v>258</v>
      </c>
      <c r="E26" s="11" t="s">
        <v>324</v>
      </c>
      <c r="F26" s="11" t="s">
        <v>260</v>
      </c>
      <c r="G26" s="11" t="s">
        <v>261</v>
      </c>
      <c r="H26" s="11" t="s">
        <v>190</v>
      </c>
    </row>
    <row r="27" spans="1:8" x14ac:dyDescent="0.25">
      <c r="A27" s="11" t="s">
        <v>256</v>
      </c>
      <c r="B27" s="11" t="s">
        <v>257</v>
      </c>
      <c r="C27" s="11" t="s">
        <v>101</v>
      </c>
      <c r="D27" s="11" t="s">
        <v>325</v>
      </c>
      <c r="E27" s="11" t="s">
        <v>326</v>
      </c>
      <c r="F27" s="11" t="s">
        <v>260</v>
      </c>
      <c r="G27" s="11" t="s">
        <v>261</v>
      </c>
      <c r="H27" s="11" t="s">
        <v>190</v>
      </c>
    </row>
    <row r="28" spans="1:8" x14ac:dyDescent="0.25">
      <c r="A28" s="11" t="s">
        <v>256</v>
      </c>
      <c r="B28" s="11" t="s">
        <v>257</v>
      </c>
      <c r="C28" s="11" t="s">
        <v>102</v>
      </c>
      <c r="D28" s="11" t="s">
        <v>327</v>
      </c>
      <c r="E28" s="11" t="s">
        <v>328</v>
      </c>
      <c r="F28" s="11" t="s">
        <v>260</v>
      </c>
      <c r="G28" s="11" t="s">
        <v>261</v>
      </c>
      <c r="H28" s="11" t="s">
        <v>190</v>
      </c>
    </row>
    <row r="29" spans="1:8" x14ac:dyDescent="0.25">
      <c r="A29" s="11" t="s">
        <v>256</v>
      </c>
      <c r="B29" s="11" t="s">
        <v>257</v>
      </c>
      <c r="C29" s="11" t="s">
        <v>103</v>
      </c>
      <c r="D29" s="11" t="s">
        <v>329</v>
      </c>
      <c r="E29" s="11" t="s">
        <v>330</v>
      </c>
      <c r="F29" s="11" t="s">
        <v>260</v>
      </c>
      <c r="G29" s="11" t="s">
        <v>261</v>
      </c>
      <c r="H29" s="11" t="s">
        <v>190</v>
      </c>
    </row>
    <row r="30" spans="1:8" x14ac:dyDescent="0.25">
      <c r="A30" s="11" t="s">
        <v>256</v>
      </c>
      <c r="B30" s="11" t="s">
        <v>257</v>
      </c>
      <c r="C30" s="11" t="s">
        <v>331</v>
      </c>
      <c r="D30" s="11" t="s">
        <v>332</v>
      </c>
      <c r="E30" s="11" t="s">
        <v>333</v>
      </c>
      <c r="F30" s="11" t="s">
        <v>260</v>
      </c>
      <c r="G30" s="11" t="s">
        <v>261</v>
      </c>
      <c r="H30" s="11" t="s">
        <v>190</v>
      </c>
    </row>
    <row r="31" spans="1:8" x14ac:dyDescent="0.25">
      <c r="A31" s="11" t="s">
        <v>256</v>
      </c>
      <c r="B31" s="11" t="s">
        <v>257</v>
      </c>
      <c r="C31" s="11" t="s">
        <v>334</v>
      </c>
      <c r="D31" s="11" t="s">
        <v>335</v>
      </c>
      <c r="E31" s="11" t="s">
        <v>336</v>
      </c>
      <c r="F31" s="11" t="s">
        <v>260</v>
      </c>
      <c r="G31" s="11" t="s">
        <v>261</v>
      </c>
      <c r="H31" s="11" t="s">
        <v>190</v>
      </c>
    </row>
    <row r="32" spans="1:8" x14ac:dyDescent="0.25">
      <c r="A32" s="11" t="s">
        <v>256</v>
      </c>
      <c r="B32" s="11" t="s">
        <v>257</v>
      </c>
      <c r="C32" s="11" t="s">
        <v>337</v>
      </c>
      <c r="D32" s="11" t="s">
        <v>338</v>
      </c>
      <c r="E32" s="11" t="s">
        <v>339</v>
      </c>
      <c r="F32" s="11" t="s">
        <v>260</v>
      </c>
      <c r="G32" s="11" t="s">
        <v>261</v>
      </c>
      <c r="H32" s="11" t="s">
        <v>190</v>
      </c>
    </row>
    <row r="33" spans="1:8" x14ac:dyDescent="0.25">
      <c r="A33" s="11" t="s">
        <v>256</v>
      </c>
      <c r="B33" s="11" t="s">
        <v>257</v>
      </c>
      <c r="C33" s="11" t="s">
        <v>104</v>
      </c>
      <c r="D33" s="11" t="s">
        <v>340</v>
      </c>
      <c r="E33" s="11" t="s">
        <v>341</v>
      </c>
      <c r="F33" s="11" t="s">
        <v>260</v>
      </c>
      <c r="G33" s="11" t="s">
        <v>261</v>
      </c>
      <c r="H33" s="11" t="s">
        <v>190</v>
      </c>
    </row>
    <row r="34" spans="1:8" x14ac:dyDescent="0.25">
      <c r="A34" s="11" t="s">
        <v>256</v>
      </c>
      <c r="B34" s="11" t="s">
        <v>257</v>
      </c>
      <c r="C34" s="11" t="s">
        <v>105</v>
      </c>
      <c r="D34" s="11" t="s">
        <v>342</v>
      </c>
      <c r="E34" s="11" t="s">
        <v>343</v>
      </c>
      <c r="F34" s="11" t="s">
        <v>260</v>
      </c>
      <c r="G34" s="11" t="s">
        <v>261</v>
      </c>
      <c r="H34" s="11" t="s">
        <v>190</v>
      </c>
    </row>
    <row r="35" spans="1:8" x14ac:dyDescent="0.25">
      <c r="A35" s="11" t="s">
        <v>256</v>
      </c>
      <c r="B35" s="11" t="s">
        <v>257</v>
      </c>
      <c r="C35" s="11" t="s">
        <v>106</v>
      </c>
      <c r="D35" s="11" t="s">
        <v>344</v>
      </c>
      <c r="E35" s="11" t="s">
        <v>345</v>
      </c>
      <c r="F35" s="11" t="s">
        <v>260</v>
      </c>
      <c r="G35" s="11" t="s">
        <v>261</v>
      </c>
      <c r="H35" s="11" t="s">
        <v>190</v>
      </c>
    </row>
    <row r="36" spans="1:8" x14ac:dyDescent="0.25">
      <c r="A36" s="11" t="s">
        <v>256</v>
      </c>
      <c r="B36" s="11" t="s">
        <v>257</v>
      </c>
      <c r="C36" s="11" t="s">
        <v>107</v>
      </c>
      <c r="D36" s="11" t="s">
        <v>346</v>
      </c>
      <c r="E36" s="11" t="s">
        <v>347</v>
      </c>
      <c r="F36" s="11" t="s">
        <v>260</v>
      </c>
      <c r="G36" s="11" t="s">
        <v>261</v>
      </c>
      <c r="H36" s="11" t="s">
        <v>190</v>
      </c>
    </row>
    <row r="37" spans="1:8" x14ac:dyDescent="0.25">
      <c r="A37" s="11" t="s">
        <v>256</v>
      </c>
      <c r="B37" s="11" t="s">
        <v>257</v>
      </c>
      <c r="C37" s="11" t="s">
        <v>108</v>
      </c>
      <c r="D37" s="11" t="s">
        <v>348</v>
      </c>
      <c r="E37" s="11" t="s">
        <v>349</v>
      </c>
      <c r="F37" s="11" t="s">
        <v>260</v>
      </c>
      <c r="G37" s="11" t="s">
        <v>261</v>
      </c>
      <c r="H37" s="11" t="s">
        <v>190</v>
      </c>
    </row>
    <row r="38" spans="1:8" x14ac:dyDescent="0.25">
      <c r="A38" s="11" t="s">
        <v>256</v>
      </c>
      <c r="B38" s="11" t="s">
        <v>257</v>
      </c>
      <c r="C38" s="11" t="s">
        <v>109</v>
      </c>
      <c r="D38" s="11" t="s">
        <v>350</v>
      </c>
      <c r="E38" s="11" t="s">
        <v>351</v>
      </c>
      <c r="F38" s="11" t="s">
        <v>260</v>
      </c>
      <c r="G38" s="11" t="s">
        <v>261</v>
      </c>
      <c r="H38" s="11" t="s">
        <v>190</v>
      </c>
    </row>
    <row r="39" spans="1:8" x14ac:dyDescent="0.25">
      <c r="A39" s="11" t="s">
        <v>256</v>
      </c>
      <c r="B39" s="11" t="s">
        <v>257</v>
      </c>
      <c r="C39" s="11" t="s">
        <v>352</v>
      </c>
      <c r="D39" s="11" t="s">
        <v>353</v>
      </c>
      <c r="E39" s="11" t="s">
        <v>354</v>
      </c>
      <c r="F39" s="11" t="s">
        <v>260</v>
      </c>
      <c r="G39" s="11" t="s">
        <v>261</v>
      </c>
      <c r="H39" s="11" t="s">
        <v>190</v>
      </c>
    </row>
    <row r="40" spans="1:8" x14ac:dyDescent="0.25">
      <c r="A40" s="11" t="s">
        <v>256</v>
      </c>
      <c r="B40" s="11" t="s">
        <v>257</v>
      </c>
      <c r="C40" s="11" t="s">
        <v>355</v>
      </c>
      <c r="D40" s="11" t="s">
        <v>356</v>
      </c>
      <c r="E40" s="11" t="s">
        <v>357</v>
      </c>
      <c r="F40" s="11" t="s">
        <v>260</v>
      </c>
      <c r="G40" s="11" t="s">
        <v>261</v>
      </c>
      <c r="H40" s="11" t="s">
        <v>190</v>
      </c>
    </row>
    <row r="41" spans="1:8" x14ac:dyDescent="0.25">
      <c r="A41" s="11" t="s">
        <v>256</v>
      </c>
      <c r="B41" s="11" t="s">
        <v>257</v>
      </c>
      <c r="C41" s="11" t="s">
        <v>358</v>
      </c>
      <c r="D41" s="11" t="s">
        <v>359</v>
      </c>
      <c r="E41" s="11" t="s">
        <v>360</v>
      </c>
      <c r="F41" s="11" t="s">
        <v>260</v>
      </c>
      <c r="G41" s="11" t="s">
        <v>261</v>
      </c>
      <c r="H41" s="11" t="s">
        <v>190</v>
      </c>
    </row>
    <row r="42" spans="1:8" x14ac:dyDescent="0.25">
      <c r="A42" s="11" t="s">
        <v>256</v>
      </c>
      <c r="B42" s="11" t="s">
        <v>257</v>
      </c>
      <c r="C42" s="11" t="s">
        <v>361</v>
      </c>
      <c r="D42" s="11" t="s">
        <v>362</v>
      </c>
      <c r="E42" s="11" t="s">
        <v>363</v>
      </c>
      <c r="F42" s="11" t="s">
        <v>260</v>
      </c>
      <c r="G42" s="11" t="s">
        <v>261</v>
      </c>
      <c r="H42" s="11" t="s">
        <v>190</v>
      </c>
    </row>
    <row r="43" spans="1:8" x14ac:dyDescent="0.25">
      <c r="A43" s="11" t="s">
        <v>256</v>
      </c>
      <c r="B43" s="11" t="s">
        <v>257</v>
      </c>
      <c r="C43" s="11" t="s">
        <v>364</v>
      </c>
      <c r="D43" s="11" t="s">
        <v>365</v>
      </c>
      <c r="E43" s="11" t="s">
        <v>366</v>
      </c>
      <c r="F43" s="11" t="s">
        <v>260</v>
      </c>
      <c r="G43" s="11" t="s">
        <v>261</v>
      </c>
      <c r="H43" s="11" t="s">
        <v>190</v>
      </c>
    </row>
    <row r="44" spans="1:8" x14ac:dyDescent="0.25">
      <c r="A44" s="11" t="s">
        <v>256</v>
      </c>
      <c r="B44" s="11" t="s">
        <v>257</v>
      </c>
      <c r="C44" s="11" t="s">
        <v>110</v>
      </c>
      <c r="D44" s="11" t="s">
        <v>367</v>
      </c>
      <c r="E44" s="11" t="s">
        <v>368</v>
      </c>
      <c r="F44" s="11" t="s">
        <v>260</v>
      </c>
      <c r="G44" s="11" t="s">
        <v>261</v>
      </c>
      <c r="H44" s="11" t="s">
        <v>190</v>
      </c>
    </row>
    <row r="45" spans="1:8" x14ac:dyDescent="0.25">
      <c r="A45" s="11" t="s">
        <v>256</v>
      </c>
      <c r="B45" s="11" t="s">
        <v>257</v>
      </c>
      <c r="C45" s="11" t="s">
        <v>111</v>
      </c>
      <c r="D45" s="11" t="s">
        <v>369</v>
      </c>
      <c r="E45" s="11" t="s">
        <v>370</v>
      </c>
      <c r="F45" s="11" t="s">
        <v>260</v>
      </c>
      <c r="G45" s="11" t="s">
        <v>261</v>
      </c>
      <c r="H45" s="11" t="s">
        <v>190</v>
      </c>
    </row>
    <row r="46" spans="1:8" x14ac:dyDescent="0.25">
      <c r="A46" s="11" t="s">
        <v>256</v>
      </c>
      <c r="B46" s="11" t="s">
        <v>257</v>
      </c>
      <c r="C46" s="11" t="s">
        <v>112</v>
      </c>
      <c r="D46" s="11" t="s">
        <v>371</v>
      </c>
      <c r="E46" s="11" t="s">
        <v>372</v>
      </c>
      <c r="F46" s="11" t="s">
        <v>260</v>
      </c>
      <c r="G46" s="11" t="s">
        <v>261</v>
      </c>
      <c r="H46" s="11" t="s">
        <v>190</v>
      </c>
    </row>
    <row r="47" spans="1:8" x14ac:dyDescent="0.25">
      <c r="A47" s="11" t="s">
        <v>256</v>
      </c>
      <c r="B47" s="11" t="s">
        <v>257</v>
      </c>
      <c r="C47" s="11" t="s">
        <v>113</v>
      </c>
      <c r="D47" s="11" t="s">
        <v>373</v>
      </c>
      <c r="E47" s="11" t="s">
        <v>374</v>
      </c>
      <c r="F47" s="11" t="s">
        <v>260</v>
      </c>
      <c r="G47" s="11" t="s">
        <v>261</v>
      </c>
      <c r="H47" s="11" t="s">
        <v>190</v>
      </c>
    </row>
    <row r="48" spans="1:8" x14ac:dyDescent="0.25">
      <c r="A48" s="11" t="s">
        <v>256</v>
      </c>
      <c r="B48" s="11" t="s">
        <v>257</v>
      </c>
      <c r="C48" s="11" t="s">
        <v>375</v>
      </c>
      <c r="D48" s="11" t="s">
        <v>376</v>
      </c>
      <c r="E48" s="11" t="s">
        <v>377</v>
      </c>
      <c r="F48" s="11" t="s">
        <v>260</v>
      </c>
      <c r="G48" s="11" t="s">
        <v>261</v>
      </c>
      <c r="H48" s="11" t="s">
        <v>190</v>
      </c>
    </row>
    <row r="49" spans="1:8" x14ac:dyDescent="0.25">
      <c r="A49" s="11" t="s">
        <v>256</v>
      </c>
      <c r="B49" s="11" t="s">
        <v>257</v>
      </c>
      <c r="C49" s="11" t="s">
        <v>378</v>
      </c>
      <c r="D49" s="11" t="s">
        <v>379</v>
      </c>
      <c r="E49" s="11" t="s">
        <v>380</v>
      </c>
      <c r="F49" s="11" t="s">
        <v>260</v>
      </c>
      <c r="G49" s="11" t="s">
        <v>261</v>
      </c>
      <c r="H49" s="11" t="s">
        <v>190</v>
      </c>
    </row>
    <row r="50" spans="1:8" x14ac:dyDescent="0.25">
      <c r="A50" s="11" t="s">
        <v>256</v>
      </c>
      <c r="B50" s="11" t="s">
        <v>257</v>
      </c>
      <c r="C50" s="11" t="s">
        <v>114</v>
      </c>
      <c r="D50" s="11" t="s">
        <v>381</v>
      </c>
      <c r="E50" s="11" t="s">
        <v>382</v>
      </c>
      <c r="F50" s="11" t="s">
        <v>260</v>
      </c>
      <c r="G50" s="11" t="s">
        <v>261</v>
      </c>
      <c r="H50" s="11" t="s">
        <v>190</v>
      </c>
    </row>
    <row r="51" spans="1:8" x14ac:dyDescent="0.25">
      <c r="A51" s="11" t="s">
        <v>256</v>
      </c>
      <c r="B51" s="11" t="s">
        <v>257</v>
      </c>
      <c r="C51" s="11" t="s">
        <v>383</v>
      </c>
      <c r="D51" s="11" t="s">
        <v>384</v>
      </c>
      <c r="E51" s="11" t="s">
        <v>385</v>
      </c>
      <c r="F51" s="11" t="s">
        <v>260</v>
      </c>
      <c r="G51" s="11" t="s">
        <v>261</v>
      </c>
      <c r="H51" s="11" t="s">
        <v>190</v>
      </c>
    </row>
    <row r="52" spans="1:8" x14ac:dyDescent="0.25">
      <c r="A52" s="11" t="s">
        <v>256</v>
      </c>
      <c r="B52" s="11" t="s">
        <v>257</v>
      </c>
      <c r="C52" s="11" t="s">
        <v>115</v>
      </c>
      <c r="D52" s="11" t="s">
        <v>386</v>
      </c>
      <c r="E52" s="11" t="s">
        <v>387</v>
      </c>
      <c r="F52" s="11" t="s">
        <v>260</v>
      </c>
      <c r="G52" s="11" t="s">
        <v>261</v>
      </c>
      <c r="H52" s="11" t="s">
        <v>190</v>
      </c>
    </row>
    <row r="53" spans="1:8" x14ac:dyDescent="0.25">
      <c r="A53" s="11" t="s">
        <v>256</v>
      </c>
      <c r="B53" s="11" t="s">
        <v>257</v>
      </c>
      <c r="C53" s="11" t="s">
        <v>388</v>
      </c>
      <c r="D53" s="11" t="s">
        <v>389</v>
      </c>
      <c r="E53" s="11" t="s">
        <v>390</v>
      </c>
      <c r="F53" s="11" t="s">
        <v>260</v>
      </c>
      <c r="G53" s="11" t="s">
        <v>261</v>
      </c>
      <c r="H53" s="11" t="s">
        <v>190</v>
      </c>
    </row>
    <row r="54" spans="1:8" x14ac:dyDescent="0.25">
      <c r="A54" s="11" t="s">
        <v>256</v>
      </c>
      <c r="B54" s="11" t="s">
        <v>257</v>
      </c>
      <c r="C54" s="11" t="s">
        <v>391</v>
      </c>
      <c r="D54" s="11" t="s">
        <v>392</v>
      </c>
      <c r="E54" s="11" t="s">
        <v>393</v>
      </c>
      <c r="F54" s="11" t="s">
        <v>260</v>
      </c>
      <c r="G54" s="11" t="s">
        <v>261</v>
      </c>
      <c r="H54" s="11" t="s">
        <v>190</v>
      </c>
    </row>
    <row r="55" spans="1:8" x14ac:dyDescent="0.25">
      <c r="A55" s="11" t="s">
        <v>256</v>
      </c>
      <c r="B55" s="11" t="s">
        <v>257</v>
      </c>
      <c r="C55" s="11" t="s">
        <v>394</v>
      </c>
      <c r="D55" s="11" t="s">
        <v>395</v>
      </c>
      <c r="E55" s="11" t="s">
        <v>396</v>
      </c>
      <c r="F55" s="11" t="s">
        <v>260</v>
      </c>
      <c r="G55" s="11" t="s">
        <v>261</v>
      </c>
      <c r="H55" s="11" t="s">
        <v>190</v>
      </c>
    </row>
    <row r="56" spans="1:8" x14ac:dyDescent="0.25">
      <c r="A56" s="11" t="s">
        <v>256</v>
      </c>
      <c r="B56" s="11" t="s">
        <v>257</v>
      </c>
      <c r="C56" s="11" t="s">
        <v>397</v>
      </c>
      <c r="D56" s="11" t="s">
        <v>398</v>
      </c>
      <c r="E56" s="11" t="s">
        <v>399</v>
      </c>
      <c r="F56" s="11" t="s">
        <v>260</v>
      </c>
      <c r="G56" s="11" t="s">
        <v>261</v>
      </c>
      <c r="H56" s="11" t="s">
        <v>190</v>
      </c>
    </row>
    <row r="57" spans="1:8" x14ac:dyDescent="0.25">
      <c r="A57" s="11" t="s">
        <v>256</v>
      </c>
      <c r="B57" s="11" t="s">
        <v>257</v>
      </c>
      <c r="C57" s="11" t="s">
        <v>400</v>
      </c>
      <c r="D57" s="11" t="s">
        <v>401</v>
      </c>
      <c r="E57" s="11" t="s">
        <v>402</v>
      </c>
      <c r="F57" s="11" t="s">
        <v>260</v>
      </c>
      <c r="G57" s="11" t="s">
        <v>261</v>
      </c>
      <c r="H57" s="11" t="s">
        <v>190</v>
      </c>
    </row>
    <row r="58" spans="1:8" x14ac:dyDescent="0.25">
      <c r="A58" s="11" t="s">
        <v>293</v>
      </c>
      <c r="B58" s="11" t="s">
        <v>294</v>
      </c>
      <c r="C58" s="11" t="s">
        <v>116</v>
      </c>
      <c r="D58" s="11" t="s">
        <v>403</v>
      </c>
      <c r="E58" s="11" t="s">
        <v>296</v>
      </c>
      <c r="F58" s="11" t="s">
        <v>280</v>
      </c>
      <c r="G58" s="11" t="s">
        <v>404</v>
      </c>
      <c r="H58" s="11" t="s">
        <v>190</v>
      </c>
    </row>
    <row r="59" spans="1:8" x14ac:dyDescent="0.25">
      <c r="A59" s="11" t="s">
        <v>293</v>
      </c>
      <c r="B59" s="11" t="s">
        <v>294</v>
      </c>
      <c r="C59" s="11" t="s">
        <v>117</v>
      </c>
      <c r="D59" s="11" t="s">
        <v>405</v>
      </c>
      <c r="E59" s="11" t="s">
        <v>296</v>
      </c>
      <c r="F59" s="11" t="s">
        <v>280</v>
      </c>
      <c r="G59" s="11" t="s">
        <v>404</v>
      </c>
      <c r="H59" s="11" t="s">
        <v>190</v>
      </c>
    </row>
    <row r="60" spans="1:8" x14ac:dyDescent="0.25">
      <c r="A60" s="11" t="s">
        <v>293</v>
      </c>
      <c r="B60" s="11" t="s">
        <v>294</v>
      </c>
      <c r="C60" s="11" t="s">
        <v>118</v>
      </c>
      <c r="D60" s="11" t="s">
        <v>406</v>
      </c>
      <c r="E60" s="11" t="s">
        <v>296</v>
      </c>
      <c r="F60" s="11" t="s">
        <v>280</v>
      </c>
      <c r="G60" s="11" t="s">
        <v>404</v>
      </c>
      <c r="H60" s="11" t="s">
        <v>190</v>
      </c>
    </row>
    <row r="61" spans="1:8" x14ac:dyDescent="0.25">
      <c r="A61" s="11" t="s">
        <v>293</v>
      </c>
      <c r="B61" s="11" t="s">
        <v>294</v>
      </c>
      <c r="C61" s="11" t="s">
        <v>119</v>
      </c>
      <c r="D61" s="11" t="s">
        <v>407</v>
      </c>
      <c r="E61" s="11" t="s">
        <v>296</v>
      </c>
      <c r="F61" s="11" t="s">
        <v>280</v>
      </c>
      <c r="G61" s="11" t="s">
        <v>404</v>
      </c>
      <c r="H61" s="11" t="s">
        <v>190</v>
      </c>
    </row>
    <row r="62" spans="1:8" x14ac:dyDescent="0.25">
      <c r="A62" s="11" t="s">
        <v>293</v>
      </c>
      <c r="B62" s="11" t="s">
        <v>294</v>
      </c>
      <c r="C62" s="11" t="s">
        <v>408</v>
      </c>
      <c r="D62" s="11" t="s">
        <v>409</v>
      </c>
      <c r="E62" s="11" t="s">
        <v>296</v>
      </c>
      <c r="F62" s="11" t="s">
        <v>280</v>
      </c>
      <c r="G62" s="11" t="s">
        <v>404</v>
      </c>
      <c r="H62" s="11" t="s">
        <v>190</v>
      </c>
    </row>
    <row r="63" spans="1:8" x14ac:dyDescent="0.25">
      <c r="A63" s="11" t="s">
        <v>293</v>
      </c>
      <c r="B63" s="11" t="s">
        <v>294</v>
      </c>
      <c r="C63" s="11" t="s">
        <v>410</v>
      </c>
      <c r="D63" s="11" t="s">
        <v>411</v>
      </c>
      <c r="E63" s="11" t="s">
        <v>296</v>
      </c>
      <c r="F63" s="11" t="s">
        <v>280</v>
      </c>
      <c r="G63" s="11" t="s">
        <v>404</v>
      </c>
      <c r="H63" s="11" t="s">
        <v>190</v>
      </c>
    </row>
    <row r="64" spans="1:8" x14ac:dyDescent="0.25">
      <c r="A64" s="11" t="s">
        <v>293</v>
      </c>
      <c r="B64" s="11" t="s">
        <v>294</v>
      </c>
      <c r="C64" s="11" t="s">
        <v>120</v>
      </c>
      <c r="D64" s="11" t="s">
        <v>412</v>
      </c>
      <c r="E64" s="11" t="s">
        <v>296</v>
      </c>
      <c r="F64" s="11" t="s">
        <v>280</v>
      </c>
      <c r="G64" s="11" t="s">
        <v>404</v>
      </c>
      <c r="H64" s="11" t="s">
        <v>190</v>
      </c>
    </row>
    <row r="65" spans="1:8" x14ac:dyDescent="0.25">
      <c r="A65" s="11" t="s">
        <v>293</v>
      </c>
      <c r="B65" s="11" t="s">
        <v>294</v>
      </c>
      <c r="C65" s="11" t="s">
        <v>121</v>
      </c>
      <c r="D65" s="11" t="s">
        <v>413</v>
      </c>
      <c r="E65" s="11" t="s">
        <v>296</v>
      </c>
      <c r="F65" s="11" t="s">
        <v>280</v>
      </c>
      <c r="G65" s="11" t="s">
        <v>404</v>
      </c>
      <c r="H65" s="11" t="s">
        <v>190</v>
      </c>
    </row>
    <row r="66" spans="1:8" x14ac:dyDescent="0.25">
      <c r="A66" s="11" t="s">
        <v>293</v>
      </c>
      <c r="B66" s="11" t="s">
        <v>294</v>
      </c>
      <c r="C66" s="11" t="s">
        <v>122</v>
      </c>
      <c r="D66" s="11" t="s">
        <v>414</v>
      </c>
      <c r="E66" s="11" t="s">
        <v>296</v>
      </c>
      <c r="F66" s="11" t="s">
        <v>280</v>
      </c>
      <c r="G66" s="11" t="s">
        <v>404</v>
      </c>
      <c r="H66" s="11" t="s">
        <v>190</v>
      </c>
    </row>
    <row r="67" spans="1:8" x14ac:dyDescent="0.25">
      <c r="A67" s="11" t="s">
        <v>293</v>
      </c>
      <c r="B67" s="11" t="s">
        <v>294</v>
      </c>
      <c r="C67" s="11" t="s">
        <v>415</v>
      </c>
      <c r="D67" s="11" t="s">
        <v>416</v>
      </c>
      <c r="E67" s="11" t="s">
        <v>296</v>
      </c>
      <c r="F67" s="11" t="s">
        <v>280</v>
      </c>
      <c r="G67" s="11" t="s">
        <v>404</v>
      </c>
      <c r="H67" s="11" t="s">
        <v>190</v>
      </c>
    </row>
    <row r="68" spans="1:8" x14ac:dyDescent="0.25">
      <c r="A68" s="11" t="s">
        <v>293</v>
      </c>
      <c r="B68" s="11" t="s">
        <v>294</v>
      </c>
      <c r="C68" s="11" t="s">
        <v>417</v>
      </c>
      <c r="D68" s="11" t="s">
        <v>418</v>
      </c>
      <c r="E68" s="11" t="s">
        <v>296</v>
      </c>
      <c r="F68" s="11" t="s">
        <v>280</v>
      </c>
      <c r="G68" s="11" t="s">
        <v>404</v>
      </c>
      <c r="H68" s="11" t="s">
        <v>190</v>
      </c>
    </row>
    <row r="69" spans="1:8" x14ac:dyDescent="0.25">
      <c r="A69" s="11" t="s">
        <v>293</v>
      </c>
      <c r="B69" s="11" t="s">
        <v>294</v>
      </c>
      <c r="C69" s="11" t="s">
        <v>419</v>
      </c>
      <c r="D69" s="11" t="s">
        <v>420</v>
      </c>
      <c r="E69" s="11" t="s">
        <v>296</v>
      </c>
      <c r="F69" s="11" t="s">
        <v>280</v>
      </c>
      <c r="G69" s="11" t="s">
        <v>404</v>
      </c>
      <c r="H69" s="11" t="s">
        <v>190</v>
      </c>
    </row>
    <row r="70" spans="1:8" x14ac:dyDescent="0.25">
      <c r="A70" s="11" t="s">
        <v>293</v>
      </c>
      <c r="B70" s="11" t="s">
        <v>294</v>
      </c>
      <c r="C70" s="11" t="s">
        <v>421</v>
      </c>
      <c r="D70" s="11" t="s">
        <v>422</v>
      </c>
      <c r="E70" s="11" t="s">
        <v>296</v>
      </c>
      <c r="F70" s="11" t="s">
        <v>280</v>
      </c>
      <c r="G70" s="11" t="s">
        <v>404</v>
      </c>
      <c r="H70" s="11" t="s">
        <v>190</v>
      </c>
    </row>
    <row r="71" spans="1:8" x14ac:dyDescent="0.25">
      <c r="A71" s="11" t="s">
        <v>293</v>
      </c>
      <c r="B71" s="11" t="s">
        <v>294</v>
      </c>
      <c r="C71" s="11" t="s">
        <v>423</v>
      </c>
      <c r="D71" s="11" t="s">
        <v>424</v>
      </c>
      <c r="E71" s="11" t="s">
        <v>296</v>
      </c>
      <c r="F71" s="11" t="s">
        <v>280</v>
      </c>
      <c r="G71" s="11" t="s">
        <v>404</v>
      </c>
      <c r="H71" s="11" t="s">
        <v>190</v>
      </c>
    </row>
    <row r="72" spans="1:8" x14ac:dyDescent="0.25">
      <c r="A72" s="11" t="s">
        <v>293</v>
      </c>
      <c r="B72" s="11" t="s">
        <v>294</v>
      </c>
      <c r="C72" s="11" t="s">
        <v>425</v>
      </c>
      <c r="D72" s="11" t="s">
        <v>426</v>
      </c>
      <c r="E72" s="11" t="s">
        <v>296</v>
      </c>
      <c r="F72" s="11" t="s">
        <v>280</v>
      </c>
      <c r="G72" s="11" t="s">
        <v>404</v>
      </c>
      <c r="H72" s="11" t="s">
        <v>190</v>
      </c>
    </row>
    <row r="73" spans="1:8" x14ac:dyDescent="0.25">
      <c r="A73" s="11" t="s">
        <v>293</v>
      </c>
      <c r="B73" s="11" t="s">
        <v>294</v>
      </c>
      <c r="C73" s="11" t="s">
        <v>427</v>
      </c>
      <c r="D73" s="11" t="s">
        <v>428</v>
      </c>
      <c r="E73" s="11" t="s">
        <v>296</v>
      </c>
      <c r="F73" s="11" t="s">
        <v>280</v>
      </c>
      <c r="G73" s="11" t="s">
        <v>404</v>
      </c>
      <c r="H73" s="11" t="s">
        <v>190</v>
      </c>
    </row>
    <row r="74" spans="1:8" x14ac:dyDescent="0.25">
      <c r="A74" s="11" t="s">
        <v>293</v>
      </c>
      <c r="B74" s="11" t="s">
        <v>294</v>
      </c>
      <c r="C74" s="11" t="s">
        <v>123</v>
      </c>
      <c r="D74" s="11" t="s">
        <v>429</v>
      </c>
      <c r="E74" s="11" t="s">
        <v>296</v>
      </c>
      <c r="F74" s="11" t="s">
        <v>280</v>
      </c>
      <c r="G74" s="11" t="s">
        <v>404</v>
      </c>
      <c r="H74" s="11" t="s">
        <v>190</v>
      </c>
    </row>
    <row r="75" spans="1:8" x14ac:dyDescent="0.25">
      <c r="A75" s="11" t="s">
        <v>293</v>
      </c>
      <c r="B75" s="11" t="s">
        <v>294</v>
      </c>
      <c r="C75" s="11" t="s">
        <v>430</v>
      </c>
      <c r="D75" s="11" t="s">
        <v>431</v>
      </c>
      <c r="E75" s="11" t="s">
        <v>296</v>
      </c>
      <c r="F75" s="11" t="s">
        <v>280</v>
      </c>
      <c r="G75" s="11" t="s">
        <v>404</v>
      </c>
      <c r="H75" s="11" t="s">
        <v>190</v>
      </c>
    </row>
    <row r="76" spans="1:8" x14ac:dyDescent="0.25">
      <c r="A76" s="11" t="s">
        <v>293</v>
      </c>
      <c r="B76" s="11" t="s">
        <v>294</v>
      </c>
      <c r="C76" s="11" t="s">
        <v>432</v>
      </c>
      <c r="D76" s="11" t="s">
        <v>433</v>
      </c>
      <c r="E76" s="11" t="s">
        <v>296</v>
      </c>
      <c r="F76" s="11" t="s">
        <v>280</v>
      </c>
      <c r="G76" s="11" t="s">
        <v>404</v>
      </c>
      <c r="H76" s="11" t="s">
        <v>190</v>
      </c>
    </row>
    <row r="77" spans="1:8" x14ac:dyDescent="0.25">
      <c r="A77" s="11" t="s">
        <v>293</v>
      </c>
      <c r="B77" s="11" t="s">
        <v>294</v>
      </c>
      <c r="C77" s="11" t="s">
        <v>434</v>
      </c>
      <c r="D77" s="11" t="s">
        <v>435</v>
      </c>
      <c r="E77" s="11" t="s">
        <v>296</v>
      </c>
      <c r="F77" s="11" t="s">
        <v>280</v>
      </c>
      <c r="G77" s="11" t="s">
        <v>404</v>
      </c>
      <c r="H77" s="11" t="s">
        <v>190</v>
      </c>
    </row>
    <row r="78" spans="1:8" x14ac:dyDescent="0.25">
      <c r="A78" s="11" t="s">
        <v>293</v>
      </c>
      <c r="B78" s="11" t="s">
        <v>294</v>
      </c>
      <c r="C78" s="11" t="s">
        <v>436</v>
      </c>
      <c r="D78" s="11" t="s">
        <v>437</v>
      </c>
      <c r="E78" s="11" t="s">
        <v>296</v>
      </c>
      <c r="F78" s="11" t="s">
        <v>280</v>
      </c>
      <c r="G78" s="11" t="s">
        <v>404</v>
      </c>
      <c r="H78" s="11" t="s">
        <v>190</v>
      </c>
    </row>
    <row r="79" spans="1:8" x14ac:dyDescent="0.25">
      <c r="A79" s="11" t="s">
        <v>293</v>
      </c>
      <c r="B79" s="11" t="s">
        <v>294</v>
      </c>
      <c r="C79" s="11" t="s">
        <v>438</v>
      </c>
      <c r="D79" s="11" t="s">
        <v>439</v>
      </c>
      <c r="E79" s="11" t="s">
        <v>296</v>
      </c>
      <c r="F79" s="11" t="s">
        <v>280</v>
      </c>
      <c r="G79" s="11" t="s">
        <v>404</v>
      </c>
      <c r="H79" s="11" t="s">
        <v>190</v>
      </c>
    </row>
    <row r="80" spans="1:8" x14ac:dyDescent="0.25">
      <c r="A80" s="11" t="s">
        <v>293</v>
      </c>
      <c r="B80" s="11" t="s">
        <v>294</v>
      </c>
      <c r="C80" s="11" t="s">
        <v>440</v>
      </c>
      <c r="D80" s="11" t="s">
        <v>441</v>
      </c>
      <c r="E80" s="11" t="s">
        <v>296</v>
      </c>
      <c r="F80" s="11" t="s">
        <v>280</v>
      </c>
      <c r="G80" s="11" t="s">
        <v>404</v>
      </c>
      <c r="H80" s="11" t="s">
        <v>190</v>
      </c>
    </row>
    <row r="81" spans="1:8" x14ac:dyDescent="0.25">
      <c r="A81" s="11" t="s">
        <v>293</v>
      </c>
      <c r="B81" s="11" t="s">
        <v>294</v>
      </c>
      <c r="C81" s="11" t="s">
        <v>442</v>
      </c>
      <c r="D81" s="11" t="s">
        <v>443</v>
      </c>
      <c r="E81" s="11" t="s">
        <v>296</v>
      </c>
      <c r="F81" s="11" t="s">
        <v>280</v>
      </c>
      <c r="G81" s="11" t="s">
        <v>404</v>
      </c>
      <c r="H81" s="11" t="s">
        <v>190</v>
      </c>
    </row>
    <row r="82" spans="1:8" x14ac:dyDescent="0.25">
      <c r="A82" s="11" t="s">
        <v>293</v>
      </c>
      <c r="B82" s="11" t="s">
        <v>294</v>
      </c>
      <c r="C82" s="11" t="s">
        <v>444</v>
      </c>
      <c r="D82" s="11" t="s">
        <v>445</v>
      </c>
      <c r="E82" s="11" t="s">
        <v>296</v>
      </c>
      <c r="F82" s="11" t="s">
        <v>280</v>
      </c>
      <c r="G82" s="11" t="s">
        <v>404</v>
      </c>
      <c r="H82" s="11" t="s">
        <v>190</v>
      </c>
    </row>
    <row r="83" spans="1:8" x14ac:dyDescent="0.25">
      <c r="A83" s="11" t="s">
        <v>293</v>
      </c>
      <c r="B83" s="11" t="s">
        <v>294</v>
      </c>
      <c r="C83" s="11" t="s">
        <v>446</v>
      </c>
      <c r="D83" s="11" t="s">
        <v>447</v>
      </c>
      <c r="E83" s="11" t="s">
        <v>296</v>
      </c>
      <c r="F83" s="11" t="s">
        <v>280</v>
      </c>
      <c r="G83" s="11" t="s">
        <v>404</v>
      </c>
      <c r="H83" s="11" t="s">
        <v>190</v>
      </c>
    </row>
    <row r="84" spans="1:8" x14ac:dyDescent="0.25">
      <c r="A84" s="11" t="s">
        <v>293</v>
      </c>
      <c r="B84" s="11" t="s">
        <v>294</v>
      </c>
      <c r="C84" s="11" t="s">
        <v>448</v>
      </c>
      <c r="D84" s="11" t="s">
        <v>449</v>
      </c>
      <c r="E84" s="11" t="s">
        <v>296</v>
      </c>
      <c r="F84" s="11" t="s">
        <v>280</v>
      </c>
      <c r="G84" s="11" t="s">
        <v>404</v>
      </c>
      <c r="H84" s="11" t="s">
        <v>190</v>
      </c>
    </row>
    <row r="85" spans="1:8" x14ac:dyDescent="0.25">
      <c r="A85" s="11" t="s">
        <v>293</v>
      </c>
      <c r="B85" s="11" t="s">
        <v>294</v>
      </c>
      <c r="C85" s="11" t="s">
        <v>450</v>
      </c>
      <c r="D85" s="11" t="s">
        <v>451</v>
      </c>
      <c r="E85" s="11" t="s">
        <v>296</v>
      </c>
      <c r="F85" s="11" t="s">
        <v>280</v>
      </c>
      <c r="G85" s="11" t="s">
        <v>404</v>
      </c>
      <c r="H85" s="11" t="s">
        <v>190</v>
      </c>
    </row>
    <row r="86" spans="1:8" x14ac:dyDescent="0.25">
      <c r="A86" s="11" t="s">
        <v>293</v>
      </c>
      <c r="B86" s="11" t="s">
        <v>294</v>
      </c>
      <c r="C86" s="11" t="s">
        <v>452</v>
      </c>
      <c r="D86" s="11" t="s">
        <v>453</v>
      </c>
      <c r="E86" s="11" t="s">
        <v>296</v>
      </c>
      <c r="F86" s="11" t="s">
        <v>280</v>
      </c>
      <c r="G86" s="11" t="s">
        <v>404</v>
      </c>
      <c r="H86" s="11" t="s">
        <v>190</v>
      </c>
    </row>
    <row r="87" spans="1:8" x14ac:dyDescent="0.25">
      <c r="A87" s="11" t="s">
        <v>293</v>
      </c>
      <c r="B87" s="11" t="s">
        <v>294</v>
      </c>
      <c r="C87" s="11" t="s">
        <v>454</v>
      </c>
      <c r="D87" s="11" t="s">
        <v>455</v>
      </c>
      <c r="E87" s="11" t="s">
        <v>296</v>
      </c>
      <c r="F87" s="11" t="s">
        <v>280</v>
      </c>
      <c r="G87" s="11" t="s">
        <v>404</v>
      </c>
      <c r="H87" s="11" t="s">
        <v>190</v>
      </c>
    </row>
    <row r="88" spans="1:8" x14ac:dyDescent="0.25">
      <c r="A88" s="11" t="s">
        <v>293</v>
      </c>
      <c r="B88" s="11" t="s">
        <v>294</v>
      </c>
      <c r="C88" s="11" t="s">
        <v>456</v>
      </c>
      <c r="D88" s="11" t="s">
        <v>457</v>
      </c>
      <c r="E88" s="11" t="s">
        <v>296</v>
      </c>
      <c r="F88" s="11" t="s">
        <v>280</v>
      </c>
      <c r="G88" s="11" t="s">
        <v>404</v>
      </c>
      <c r="H88" s="11" t="s">
        <v>190</v>
      </c>
    </row>
    <row r="89" spans="1:8" x14ac:dyDescent="0.25">
      <c r="A89" s="11" t="s">
        <v>293</v>
      </c>
      <c r="B89" s="11" t="s">
        <v>294</v>
      </c>
      <c r="C89" s="11" t="s">
        <v>458</v>
      </c>
      <c r="D89" s="11" t="s">
        <v>459</v>
      </c>
      <c r="E89" s="11" t="s">
        <v>296</v>
      </c>
      <c r="F89" s="11" t="s">
        <v>280</v>
      </c>
      <c r="G89" s="11" t="s">
        <v>404</v>
      </c>
      <c r="H89" s="11" t="s">
        <v>190</v>
      </c>
    </row>
    <row r="90" spans="1:8" x14ac:dyDescent="0.25">
      <c r="A90" s="11" t="s">
        <v>293</v>
      </c>
      <c r="B90" s="11" t="s">
        <v>294</v>
      </c>
      <c r="C90" s="11" t="s">
        <v>460</v>
      </c>
      <c r="D90" s="11" t="s">
        <v>461</v>
      </c>
      <c r="E90" s="11" t="s">
        <v>296</v>
      </c>
      <c r="F90" s="11" t="s">
        <v>280</v>
      </c>
      <c r="G90" s="11" t="s">
        <v>404</v>
      </c>
      <c r="H90" s="11" t="s">
        <v>190</v>
      </c>
    </row>
    <row r="91" spans="1:8" x14ac:dyDescent="0.25">
      <c r="A91" s="11" t="s">
        <v>293</v>
      </c>
      <c r="B91" s="11" t="s">
        <v>294</v>
      </c>
      <c r="C91" s="11" t="s">
        <v>462</v>
      </c>
      <c r="D91" s="11" t="s">
        <v>463</v>
      </c>
      <c r="E91" s="11" t="s">
        <v>296</v>
      </c>
      <c r="F91" s="11" t="s">
        <v>280</v>
      </c>
      <c r="G91" s="11" t="s">
        <v>404</v>
      </c>
      <c r="H91" s="11" t="s">
        <v>190</v>
      </c>
    </row>
    <row r="92" spans="1:8" x14ac:dyDescent="0.25">
      <c r="A92" s="11" t="s">
        <v>293</v>
      </c>
      <c r="B92" s="11" t="s">
        <v>294</v>
      </c>
      <c r="C92" s="11" t="s">
        <v>464</v>
      </c>
      <c r="D92" s="11" t="s">
        <v>465</v>
      </c>
      <c r="E92" s="11" t="s">
        <v>296</v>
      </c>
      <c r="F92" s="11" t="s">
        <v>280</v>
      </c>
      <c r="G92" s="11" t="s">
        <v>404</v>
      </c>
      <c r="H92" s="11" t="s">
        <v>190</v>
      </c>
    </row>
    <row r="93" spans="1:8" x14ac:dyDescent="0.25">
      <c r="A93" s="11" t="s">
        <v>293</v>
      </c>
      <c r="B93" s="11" t="s">
        <v>294</v>
      </c>
      <c r="C93" s="11" t="s">
        <v>466</v>
      </c>
      <c r="D93" s="11" t="s">
        <v>467</v>
      </c>
      <c r="E93" s="11" t="s">
        <v>296</v>
      </c>
      <c r="F93" s="11" t="s">
        <v>280</v>
      </c>
      <c r="G93" s="11" t="s">
        <v>404</v>
      </c>
      <c r="H93" s="11" t="s">
        <v>190</v>
      </c>
    </row>
    <row r="94" spans="1:8" x14ac:dyDescent="0.25">
      <c r="A94" s="11" t="s">
        <v>293</v>
      </c>
      <c r="B94" s="11" t="s">
        <v>294</v>
      </c>
      <c r="C94" s="11" t="s">
        <v>468</v>
      </c>
      <c r="D94" s="11" t="s">
        <v>469</v>
      </c>
      <c r="E94" s="11" t="s">
        <v>296</v>
      </c>
      <c r="F94" s="11" t="s">
        <v>280</v>
      </c>
      <c r="G94" s="11" t="s">
        <v>404</v>
      </c>
      <c r="H94" s="11" t="s">
        <v>190</v>
      </c>
    </row>
    <row r="95" spans="1:8" x14ac:dyDescent="0.25">
      <c r="A95" s="11" t="s">
        <v>293</v>
      </c>
      <c r="B95" s="11" t="s">
        <v>294</v>
      </c>
      <c r="C95" s="11" t="s">
        <v>470</v>
      </c>
      <c r="D95" s="11" t="s">
        <v>471</v>
      </c>
      <c r="E95" s="11" t="s">
        <v>296</v>
      </c>
      <c r="F95" s="11" t="s">
        <v>280</v>
      </c>
      <c r="G95" s="11" t="s">
        <v>404</v>
      </c>
      <c r="H95" s="11" t="s">
        <v>190</v>
      </c>
    </row>
    <row r="96" spans="1:8" x14ac:dyDescent="0.25">
      <c r="A96" s="11" t="s">
        <v>293</v>
      </c>
      <c r="B96" s="11" t="s">
        <v>294</v>
      </c>
      <c r="C96" s="11" t="s">
        <v>472</v>
      </c>
      <c r="D96" s="11" t="s">
        <v>473</v>
      </c>
      <c r="E96" s="11" t="s">
        <v>296</v>
      </c>
      <c r="F96" s="11" t="s">
        <v>280</v>
      </c>
      <c r="G96" s="11" t="s">
        <v>404</v>
      </c>
      <c r="H96" s="11" t="s">
        <v>190</v>
      </c>
    </row>
    <row r="97" spans="1:8" x14ac:dyDescent="0.25">
      <c r="A97" s="11" t="s">
        <v>293</v>
      </c>
      <c r="B97" s="11" t="s">
        <v>294</v>
      </c>
      <c r="C97" s="11" t="s">
        <v>474</v>
      </c>
      <c r="D97" s="11" t="s">
        <v>475</v>
      </c>
      <c r="E97" s="11" t="s">
        <v>296</v>
      </c>
      <c r="F97" s="11" t="s">
        <v>280</v>
      </c>
      <c r="G97" s="11" t="s">
        <v>404</v>
      </c>
      <c r="H97" s="11" t="s">
        <v>190</v>
      </c>
    </row>
    <row r="98" spans="1:8" x14ac:dyDescent="0.25">
      <c r="A98" s="11" t="s">
        <v>293</v>
      </c>
      <c r="B98" s="11" t="s">
        <v>294</v>
      </c>
      <c r="C98" s="11" t="s">
        <v>476</v>
      </c>
      <c r="D98" s="11" t="s">
        <v>477</v>
      </c>
      <c r="E98" s="11" t="s">
        <v>296</v>
      </c>
      <c r="F98" s="11" t="s">
        <v>280</v>
      </c>
      <c r="G98" s="11" t="s">
        <v>404</v>
      </c>
      <c r="H98" s="11" t="s">
        <v>190</v>
      </c>
    </row>
    <row r="99" spans="1:8" x14ac:dyDescent="0.25">
      <c r="A99" s="11" t="s">
        <v>293</v>
      </c>
      <c r="B99" s="11" t="s">
        <v>294</v>
      </c>
      <c r="C99" s="11" t="s">
        <v>478</v>
      </c>
      <c r="D99" s="11" t="s">
        <v>479</v>
      </c>
      <c r="E99" s="11" t="s">
        <v>296</v>
      </c>
      <c r="F99" s="11" t="s">
        <v>280</v>
      </c>
      <c r="G99" s="11" t="s">
        <v>404</v>
      </c>
      <c r="H99" s="11" t="s">
        <v>190</v>
      </c>
    </row>
    <row r="100" spans="1:8" x14ac:dyDescent="0.25">
      <c r="A100" s="11" t="s">
        <v>293</v>
      </c>
      <c r="B100" s="11" t="s">
        <v>294</v>
      </c>
      <c r="C100" s="11" t="s">
        <v>480</v>
      </c>
      <c r="D100" s="11" t="s">
        <v>481</v>
      </c>
      <c r="E100" s="11" t="s">
        <v>296</v>
      </c>
      <c r="F100" s="11" t="s">
        <v>280</v>
      </c>
      <c r="G100" s="11" t="s">
        <v>404</v>
      </c>
      <c r="H100" s="11" t="s">
        <v>190</v>
      </c>
    </row>
    <row r="101" spans="1:8" x14ac:dyDescent="0.25">
      <c r="A101" s="11" t="s">
        <v>293</v>
      </c>
      <c r="B101" s="11" t="s">
        <v>294</v>
      </c>
      <c r="C101" s="11" t="s">
        <v>482</v>
      </c>
      <c r="D101" s="11" t="s">
        <v>483</v>
      </c>
      <c r="E101" s="11" t="s">
        <v>296</v>
      </c>
      <c r="F101" s="11" t="s">
        <v>280</v>
      </c>
      <c r="G101" s="11" t="s">
        <v>404</v>
      </c>
      <c r="H101" s="11" t="s">
        <v>190</v>
      </c>
    </row>
    <row r="102" spans="1:8" x14ac:dyDescent="0.25">
      <c r="A102" s="11" t="s">
        <v>293</v>
      </c>
      <c r="B102" s="11" t="s">
        <v>294</v>
      </c>
      <c r="C102" s="11" t="s">
        <v>484</v>
      </c>
      <c r="D102" s="11" t="s">
        <v>485</v>
      </c>
      <c r="E102" s="11" t="s">
        <v>296</v>
      </c>
      <c r="F102" s="11" t="s">
        <v>280</v>
      </c>
      <c r="G102" s="11" t="s">
        <v>404</v>
      </c>
      <c r="H102" s="11" t="s">
        <v>190</v>
      </c>
    </row>
    <row r="103" spans="1:8" x14ac:dyDescent="0.25">
      <c r="A103" s="11" t="s">
        <v>293</v>
      </c>
      <c r="B103" s="11" t="s">
        <v>294</v>
      </c>
      <c r="C103" s="11" t="s">
        <v>486</v>
      </c>
      <c r="D103" s="11" t="s">
        <v>487</v>
      </c>
      <c r="E103" s="11" t="s">
        <v>296</v>
      </c>
      <c r="F103" s="11" t="s">
        <v>280</v>
      </c>
      <c r="G103" s="11" t="s">
        <v>404</v>
      </c>
      <c r="H103" s="11" t="s">
        <v>190</v>
      </c>
    </row>
    <row r="104" spans="1:8" x14ac:dyDescent="0.25">
      <c r="A104" s="11" t="s">
        <v>293</v>
      </c>
      <c r="B104" s="11" t="s">
        <v>294</v>
      </c>
      <c r="C104" s="11" t="s">
        <v>488</v>
      </c>
      <c r="D104" s="11" t="s">
        <v>489</v>
      </c>
      <c r="E104" s="11" t="s">
        <v>296</v>
      </c>
      <c r="F104" s="11" t="s">
        <v>280</v>
      </c>
      <c r="G104" s="11" t="s">
        <v>404</v>
      </c>
      <c r="H104" s="11" t="s">
        <v>190</v>
      </c>
    </row>
    <row r="105" spans="1:8" x14ac:dyDescent="0.25">
      <c r="A105" s="11" t="s">
        <v>293</v>
      </c>
      <c r="B105" s="11" t="s">
        <v>294</v>
      </c>
      <c r="C105" s="11" t="s">
        <v>490</v>
      </c>
      <c r="D105" s="11" t="s">
        <v>491</v>
      </c>
      <c r="E105" s="11" t="s">
        <v>296</v>
      </c>
      <c r="F105" s="11" t="s">
        <v>280</v>
      </c>
      <c r="G105" s="11" t="s">
        <v>404</v>
      </c>
      <c r="H105" s="11" t="s">
        <v>190</v>
      </c>
    </row>
    <row r="106" spans="1:8" x14ac:dyDescent="0.25">
      <c r="A106" s="11" t="s">
        <v>293</v>
      </c>
      <c r="B106" s="11" t="s">
        <v>294</v>
      </c>
      <c r="C106" s="11" t="s">
        <v>492</v>
      </c>
      <c r="D106" s="11" t="s">
        <v>493</v>
      </c>
      <c r="E106" s="11" t="s">
        <v>296</v>
      </c>
      <c r="F106" s="11" t="s">
        <v>280</v>
      </c>
      <c r="G106" s="11" t="s">
        <v>404</v>
      </c>
      <c r="H106" s="11" t="s">
        <v>190</v>
      </c>
    </row>
    <row r="107" spans="1:8" x14ac:dyDescent="0.25">
      <c r="A107" s="11" t="s">
        <v>293</v>
      </c>
      <c r="B107" s="11" t="s">
        <v>294</v>
      </c>
      <c r="C107" s="11" t="s">
        <v>494</v>
      </c>
      <c r="D107" s="11" t="s">
        <v>495</v>
      </c>
      <c r="E107" s="11" t="s">
        <v>296</v>
      </c>
      <c r="F107" s="11" t="s">
        <v>280</v>
      </c>
      <c r="G107" s="11" t="s">
        <v>404</v>
      </c>
      <c r="H107" s="11" t="s">
        <v>190</v>
      </c>
    </row>
    <row r="108" spans="1:8" x14ac:dyDescent="0.25">
      <c r="A108" s="11" t="s">
        <v>293</v>
      </c>
      <c r="B108" s="11" t="s">
        <v>294</v>
      </c>
      <c r="C108" s="11" t="s">
        <v>496</v>
      </c>
      <c r="D108" s="11" t="s">
        <v>477</v>
      </c>
      <c r="E108" s="11" t="s">
        <v>296</v>
      </c>
      <c r="F108" s="11" t="s">
        <v>280</v>
      </c>
      <c r="G108" s="11" t="s">
        <v>404</v>
      </c>
      <c r="H108" s="11" t="s">
        <v>190</v>
      </c>
    </row>
    <row r="109" spans="1:8" x14ac:dyDescent="0.25">
      <c r="A109" s="11" t="s">
        <v>293</v>
      </c>
      <c r="B109" s="11" t="s">
        <v>294</v>
      </c>
      <c r="C109" s="11" t="s">
        <v>497</v>
      </c>
      <c r="D109" s="11" t="s">
        <v>498</v>
      </c>
      <c r="E109" s="11" t="s">
        <v>296</v>
      </c>
      <c r="F109" s="11" t="s">
        <v>280</v>
      </c>
      <c r="G109" s="11" t="s">
        <v>404</v>
      </c>
      <c r="H109" s="11" t="s">
        <v>190</v>
      </c>
    </row>
    <row r="110" spans="1:8" x14ac:dyDescent="0.25">
      <c r="A110" s="11" t="s">
        <v>293</v>
      </c>
      <c r="B110" s="11" t="s">
        <v>294</v>
      </c>
      <c r="C110" s="11" t="s">
        <v>499</v>
      </c>
      <c r="D110" s="11" t="s">
        <v>500</v>
      </c>
      <c r="E110" s="11" t="s">
        <v>296</v>
      </c>
      <c r="F110" s="11" t="s">
        <v>280</v>
      </c>
      <c r="G110" s="11" t="s">
        <v>404</v>
      </c>
      <c r="H110" s="11" t="s">
        <v>190</v>
      </c>
    </row>
    <row r="111" spans="1:8" x14ac:dyDescent="0.25">
      <c r="A111" s="11" t="s">
        <v>293</v>
      </c>
      <c r="B111" s="11" t="s">
        <v>294</v>
      </c>
      <c r="C111" s="11" t="s">
        <v>501</v>
      </c>
      <c r="D111" s="11" t="s">
        <v>502</v>
      </c>
      <c r="E111" s="11" t="s">
        <v>296</v>
      </c>
      <c r="F111" s="11" t="s">
        <v>280</v>
      </c>
      <c r="G111" s="11" t="s">
        <v>404</v>
      </c>
      <c r="H111" s="11" t="s">
        <v>190</v>
      </c>
    </row>
    <row r="112" spans="1:8" x14ac:dyDescent="0.25">
      <c r="A112" s="11" t="s">
        <v>293</v>
      </c>
      <c r="B112" s="11" t="s">
        <v>294</v>
      </c>
      <c r="C112" s="11" t="s">
        <v>503</v>
      </c>
      <c r="D112" s="11" t="s">
        <v>504</v>
      </c>
      <c r="E112" s="11" t="s">
        <v>296</v>
      </c>
      <c r="F112" s="11" t="s">
        <v>280</v>
      </c>
      <c r="G112" s="11" t="s">
        <v>404</v>
      </c>
      <c r="H112" s="11" t="s">
        <v>190</v>
      </c>
    </row>
    <row r="113" spans="1:8" x14ac:dyDescent="0.25">
      <c r="A113" s="11" t="s">
        <v>293</v>
      </c>
      <c r="B113" s="11" t="s">
        <v>294</v>
      </c>
      <c r="C113" s="11" t="s">
        <v>505</v>
      </c>
      <c r="D113" s="11" t="s">
        <v>506</v>
      </c>
      <c r="E113" s="11" t="s">
        <v>296</v>
      </c>
      <c r="F113" s="11" t="s">
        <v>280</v>
      </c>
      <c r="G113" s="11" t="s">
        <v>404</v>
      </c>
      <c r="H113" s="11" t="s">
        <v>190</v>
      </c>
    </row>
    <row r="114" spans="1:8" x14ac:dyDescent="0.25">
      <c r="A114" s="11" t="s">
        <v>293</v>
      </c>
      <c r="B114" s="11" t="s">
        <v>294</v>
      </c>
      <c r="C114" s="11" t="s">
        <v>507</v>
      </c>
      <c r="D114" s="11" t="s">
        <v>508</v>
      </c>
      <c r="E114" s="11" t="s">
        <v>296</v>
      </c>
      <c r="F114" s="11" t="s">
        <v>280</v>
      </c>
      <c r="G114" s="11" t="s">
        <v>404</v>
      </c>
      <c r="H114" s="11" t="s">
        <v>190</v>
      </c>
    </row>
    <row r="115" spans="1:8" x14ac:dyDescent="0.25">
      <c r="A115" s="11" t="s">
        <v>293</v>
      </c>
      <c r="B115" s="11" t="s">
        <v>294</v>
      </c>
      <c r="C115" s="11" t="s">
        <v>509</v>
      </c>
      <c r="D115" s="11" t="s">
        <v>510</v>
      </c>
      <c r="E115" s="11" t="s">
        <v>296</v>
      </c>
      <c r="F115" s="11" t="s">
        <v>280</v>
      </c>
      <c r="G115" s="11" t="s">
        <v>404</v>
      </c>
      <c r="H115" s="11" t="s">
        <v>190</v>
      </c>
    </row>
    <row r="116" spans="1:8" x14ac:dyDescent="0.25">
      <c r="A116" s="11" t="s">
        <v>293</v>
      </c>
      <c r="B116" s="11" t="s">
        <v>294</v>
      </c>
      <c r="C116" s="11" t="s">
        <v>511</v>
      </c>
      <c r="D116" s="11" t="s">
        <v>512</v>
      </c>
      <c r="E116" s="11" t="s">
        <v>296</v>
      </c>
      <c r="F116" s="11" t="s">
        <v>280</v>
      </c>
      <c r="G116" s="11" t="s">
        <v>404</v>
      </c>
      <c r="H116" s="11" t="s">
        <v>190</v>
      </c>
    </row>
    <row r="117" spans="1:8" x14ac:dyDescent="0.25">
      <c r="A117" s="11" t="s">
        <v>293</v>
      </c>
      <c r="B117" s="11" t="s">
        <v>294</v>
      </c>
      <c r="C117" s="11" t="s">
        <v>513</v>
      </c>
      <c r="D117" s="11" t="s">
        <v>514</v>
      </c>
      <c r="E117" s="11" t="s">
        <v>296</v>
      </c>
      <c r="F117" s="11" t="s">
        <v>280</v>
      </c>
      <c r="G117" s="11" t="s">
        <v>404</v>
      </c>
      <c r="H117" s="11" t="s">
        <v>190</v>
      </c>
    </row>
    <row r="118" spans="1:8" x14ac:dyDescent="0.25">
      <c r="A118" s="11" t="s">
        <v>293</v>
      </c>
      <c r="B118" s="11" t="s">
        <v>294</v>
      </c>
      <c r="C118" s="11" t="s">
        <v>515</v>
      </c>
      <c r="D118" s="11" t="s">
        <v>516</v>
      </c>
      <c r="E118" s="11" t="s">
        <v>296</v>
      </c>
      <c r="F118" s="11" t="s">
        <v>280</v>
      </c>
      <c r="G118" s="11" t="s">
        <v>404</v>
      </c>
      <c r="H118" s="11" t="s">
        <v>190</v>
      </c>
    </row>
    <row r="119" spans="1:8" x14ac:dyDescent="0.25">
      <c r="A119" s="11" t="s">
        <v>293</v>
      </c>
      <c r="B119" s="11" t="s">
        <v>294</v>
      </c>
      <c r="C119" s="11" t="s">
        <v>517</v>
      </c>
      <c r="D119" s="11" t="s">
        <v>518</v>
      </c>
      <c r="E119" s="11" t="s">
        <v>296</v>
      </c>
      <c r="F119" s="11" t="s">
        <v>280</v>
      </c>
      <c r="G119" s="11" t="s">
        <v>404</v>
      </c>
      <c r="H119" s="11" t="s">
        <v>190</v>
      </c>
    </row>
    <row r="120" spans="1:8" x14ac:dyDescent="0.25">
      <c r="A120" s="11" t="s">
        <v>293</v>
      </c>
      <c r="B120" s="11" t="s">
        <v>294</v>
      </c>
      <c r="C120" s="11" t="s">
        <v>519</v>
      </c>
      <c r="D120" s="11" t="s">
        <v>520</v>
      </c>
      <c r="E120" s="11" t="s">
        <v>296</v>
      </c>
      <c r="F120" s="11" t="s">
        <v>280</v>
      </c>
      <c r="G120" s="11" t="s">
        <v>404</v>
      </c>
      <c r="H120" s="11" t="s">
        <v>190</v>
      </c>
    </row>
    <row r="121" spans="1:8" x14ac:dyDescent="0.25">
      <c r="A121" s="11" t="s">
        <v>293</v>
      </c>
      <c r="B121" s="11" t="s">
        <v>294</v>
      </c>
      <c r="C121" s="11" t="s">
        <v>521</v>
      </c>
      <c r="D121" s="11" t="s">
        <v>522</v>
      </c>
      <c r="E121" s="11" t="s">
        <v>296</v>
      </c>
      <c r="F121" s="11" t="s">
        <v>280</v>
      </c>
      <c r="G121" s="11" t="s">
        <v>404</v>
      </c>
      <c r="H121" s="11" t="s">
        <v>190</v>
      </c>
    </row>
    <row r="122" spans="1:8" x14ac:dyDescent="0.25">
      <c r="A122" s="11" t="s">
        <v>293</v>
      </c>
      <c r="B122" s="11" t="s">
        <v>294</v>
      </c>
      <c r="C122" s="11" t="s">
        <v>523</v>
      </c>
      <c r="D122" s="11" t="s">
        <v>524</v>
      </c>
      <c r="E122" s="11" t="s">
        <v>296</v>
      </c>
      <c r="F122" s="11" t="s">
        <v>280</v>
      </c>
      <c r="G122" s="11" t="s">
        <v>404</v>
      </c>
      <c r="H122" s="11" t="s">
        <v>190</v>
      </c>
    </row>
    <row r="123" spans="1:8" x14ac:dyDescent="0.25">
      <c r="A123" s="11" t="s">
        <v>293</v>
      </c>
      <c r="B123" s="11" t="s">
        <v>294</v>
      </c>
      <c r="C123" s="11" t="s">
        <v>525</v>
      </c>
      <c r="D123" s="11" t="s">
        <v>526</v>
      </c>
      <c r="E123" s="11" t="s">
        <v>296</v>
      </c>
      <c r="F123" s="11" t="s">
        <v>280</v>
      </c>
      <c r="G123" s="11" t="s">
        <v>404</v>
      </c>
      <c r="H123" s="11" t="s">
        <v>190</v>
      </c>
    </row>
    <row r="124" spans="1:8" x14ac:dyDescent="0.25">
      <c r="A124" s="11" t="s">
        <v>293</v>
      </c>
      <c r="B124" s="11" t="s">
        <v>294</v>
      </c>
      <c r="C124" s="11" t="s">
        <v>527</v>
      </c>
      <c r="D124" s="11" t="s">
        <v>528</v>
      </c>
      <c r="E124" s="11" t="s">
        <v>296</v>
      </c>
      <c r="F124" s="11" t="s">
        <v>280</v>
      </c>
      <c r="G124" s="11" t="s">
        <v>404</v>
      </c>
      <c r="H124" s="11" t="s">
        <v>190</v>
      </c>
    </row>
    <row r="125" spans="1:8" x14ac:dyDescent="0.25">
      <c r="A125" s="11" t="s">
        <v>293</v>
      </c>
      <c r="B125" s="11" t="s">
        <v>294</v>
      </c>
      <c r="C125" s="11" t="s">
        <v>529</v>
      </c>
      <c r="D125" s="11" t="s">
        <v>530</v>
      </c>
      <c r="E125" s="11" t="s">
        <v>296</v>
      </c>
      <c r="F125" s="11" t="s">
        <v>280</v>
      </c>
      <c r="G125" s="11" t="s">
        <v>404</v>
      </c>
      <c r="H125" s="11" t="s">
        <v>190</v>
      </c>
    </row>
    <row r="126" spans="1:8" x14ac:dyDescent="0.25">
      <c r="A126" s="11" t="s">
        <v>293</v>
      </c>
      <c r="B126" s="11" t="s">
        <v>294</v>
      </c>
      <c r="C126" s="11" t="s">
        <v>531</v>
      </c>
      <c r="D126" s="11" t="s">
        <v>532</v>
      </c>
      <c r="E126" s="11" t="s">
        <v>296</v>
      </c>
      <c r="F126" s="11" t="s">
        <v>280</v>
      </c>
      <c r="G126" s="11" t="s">
        <v>404</v>
      </c>
      <c r="H126" s="11" t="s">
        <v>190</v>
      </c>
    </row>
    <row r="127" spans="1:8" x14ac:dyDescent="0.25">
      <c r="A127" s="11" t="s">
        <v>293</v>
      </c>
      <c r="B127" s="11" t="s">
        <v>294</v>
      </c>
      <c r="C127" s="11" t="s">
        <v>533</v>
      </c>
      <c r="D127" s="11" t="s">
        <v>534</v>
      </c>
      <c r="E127" s="11" t="s">
        <v>296</v>
      </c>
      <c r="F127" s="11" t="s">
        <v>280</v>
      </c>
      <c r="G127" s="11" t="s">
        <v>404</v>
      </c>
      <c r="H127" s="11" t="s">
        <v>190</v>
      </c>
    </row>
    <row r="128" spans="1:8" x14ac:dyDescent="0.25">
      <c r="A128" s="11" t="s">
        <v>293</v>
      </c>
      <c r="B128" s="11" t="s">
        <v>294</v>
      </c>
      <c r="C128" s="11" t="s">
        <v>535</v>
      </c>
      <c r="D128" s="11" t="s">
        <v>536</v>
      </c>
      <c r="E128" s="11" t="s">
        <v>296</v>
      </c>
      <c r="F128" s="11" t="s">
        <v>280</v>
      </c>
      <c r="G128" s="11" t="s">
        <v>404</v>
      </c>
      <c r="H128" s="11" t="s">
        <v>190</v>
      </c>
    </row>
    <row r="129" spans="1:8" x14ac:dyDescent="0.25">
      <c r="A129" s="11" t="s">
        <v>293</v>
      </c>
      <c r="B129" s="11" t="s">
        <v>294</v>
      </c>
      <c r="C129" s="11" t="s">
        <v>537</v>
      </c>
      <c r="D129" s="11" t="s">
        <v>538</v>
      </c>
      <c r="E129" s="11" t="s">
        <v>296</v>
      </c>
      <c r="F129" s="11" t="s">
        <v>280</v>
      </c>
      <c r="G129" s="11" t="s">
        <v>404</v>
      </c>
      <c r="H129" s="11" t="s">
        <v>190</v>
      </c>
    </row>
    <row r="130" spans="1:8" x14ac:dyDescent="0.25">
      <c r="A130" s="11" t="s">
        <v>293</v>
      </c>
      <c r="B130" s="11" t="s">
        <v>294</v>
      </c>
      <c r="C130" s="11" t="s">
        <v>539</v>
      </c>
      <c r="D130" s="11" t="s">
        <v>540</v>
      </c>
      <c r="E130" s="11" t="s">
        <v>296</v>
      </c>
      <c r="F130" s="11" t="s">
        <v>280</v>
      </c>
      <c r="G130" s="11" t="s">
        <v>404</v>
      </c>
      <c r="H130" s="11" t="s">
        <v>190</v>
      </c>
    </row>
    <row r="131" spans="1:8" x14ac:dyDescent="0.25">
      <c r="A131" s="11" t="s">
        <v>293</v>
      </c>
      <c r="B131" s="11" t="s">
        <v>294</v>
      </c>
      <c r="C131" s="11" t="s">
        <v>541</v>
      </c>
      <c r="D131" s="11" t="s">
        <v>542</v>
      </c>
      <c r="E131" s="11" t="s">
        <v>296</v>
      </c>
      <c r="F131" s="11" t="s">
        <v>280</v>
      </c>
      <c r="G131" s="11" t="s">
        <v>404</v>
      </c>
      <c r="H131" s="11" t="s">
        <v>190</v>
      </c>
    </row>
    <row r="132" spans="1:8" x14ac:dyDescent="0.25">
      <c r="A132" s="11" t="s">
        <v>293</v>
      </c>
      <c r="B132" s="11" t="s">
        <v>294</v>
      </c>
      <c r="C132" s="11" t="s">
        <v>543</v>
      </c>
      <c r="D132" s="11" t="s">
        <v>544</v>
      </c>
      <c r="E132" s="11" t="s">
        <v>296</v>
      </c>
      <c r="F132" s="11" t="s">
        <v>280</v>
      </c>
      <c r="G132" s="11" t="s">
        <v>404</v>
      </c>
      <c r="H132" s="11" t="s">
        <v>190</v>
      </c>
    </row>
    <row r="133" spans="1:8" x14ac:dyDescent="0.25">
      <c r="A133" s="11" t="s">
        <v>293</v>
      </c>
      <c r="B133" s="11" t="s">
        <v>294</v>
      </c>
      <c r="C133" s="11" t="s">
        <v>545</v>
      </c>
      <c r="D133" s="11" t="s">
        <v>546</v>
      </c>
      <c r="E133" s="11" t="s">
        <v>296</v>
      </c>
      <c r="F133" s="11" t="s">
        <v>280</v>
      </c>
      <c r="G133" s="11" t="s">
        <v>404</v>
      </c>
      <c r="H133" s="11" t="s">
        <v>190</v>
      </c>
    </row>
    <row r="134" spans="1:8" x14ac:dyDescent="0.25">
      <c r="A134" s="11" t="s">
        <v>293</v>
      </c>
      <c r="B134" s="11" t="s">
        <v>294</v>
      </c>
      <c r="C134" s="11" t="s">
        <v>547</v>
      </c>
      <c r="D134" s="11" t="s">
        <v>548</v>
      </c>
      <c r="E134" s="11" t="s">
        <v>296</v>
      </c>
      <c r="F134" s="11" t="s">
        <v>280</v>
      </c>
      <c r="G134" s="11" t="s">
        <v>404</v>
      </c>
      <c r="H134" s="11" t="s">
        <v>190</v>
      </c>
    </row>
    <row r="135" spans="1:8" x14ac:dyDescent="0.25">
      <c r="A135" s="11" t="s">
        <v>293</v>
      </c>
      <c r="B135" s="11" t="s">
        <v>294</v>
      </c>
      <c r="C135" s="11" t="s">
        <v>549</v>
      </c>
      <c r="D135" s="11" t="s">
        <v>550</v>
      </c>
      <c r="E135" s="11" t="s">
        <v>296</v>
      </c>
      <c r="F135" s="11" t="s">
        <v>280</v>
      </c>
      <c r="G135" s="11" t="s">
        <v>404</v>
      </c>
      <c r="H135" s="11" t="s">
        <v>190</v>
      </c>
    </row>
    <row r="136" spans="1:8" x14ac:dyDescent="0.25">
      <c r="A136" s="11" t="s">
        <v>293</v>
      </c>
      <c r="B136" s="11" t="s">
        <v>294</v>
      </c>
      <c r="C136" s="11" t="s">
        <v>551</v>
      </c>
      <c r="D136" s="11" t="s">
        <v>552</v>
      </c>
      <c r="E136" s="11" t="s">
        <v>296</v>
      </c>
      <c r="F136" s="11" t="s">
        <v>280</v>
      </c>
      <c r="G136" s="11" t="s">
        <v>404</v>
      </c>
      <c r="H136" s="11" t="s">
        <v>190</v>
      </c>
    </row>
    <row r="137" spans="1:8" x14ac:dyDescent="0.25">
      <c r="A137" s="11" t="s">
        <v>293</v>
      </c>
      <c r="B137" s="11" t="s">
        <v>294</v>
      </c>
      <c r="C137" s="11" t="s">
        <v>553</v>
      </c>
      <c r="D137" s="11" t="s">
        <v>554</v>
      </c>
      <c r="E137" s="11" t="s">
        <v>296</v>
      </c>
      <c r="F137" s="11" t="s">
        <v>280</v>
      </c>
      <c r="G137" s="11" t="s">
        <v>404</v>
      </c>
      <c r="H137" s="11" t="s">
        <v>190</v>
      </c>
    </row>
    <row r="138" spans="1:8" x14ac:dyDescent="0.25">
      <c r="A138" s="11" t="s">
        <v>293</v>
      </c>
      <c r="B138" s="11" t="s">
        <v>294</v>
      </c>
      <c r="C138" s="11" t="s">
        <v>555</v>
      </c>
      <c r="D138" s="11" t="s">
        <v>556</v>
      </c>
      <c r="E138" s="11" t="s">
        <v>296</v>
      </c>
      <c r="F138" s="11" t="s">
        <v>280</v>
      </c>
      <c r="G138" s="11" t="s">
        <v>404</v>
      </c>
      <c r="H138" s="11" t="s">
        <v>190</v>
      </c>
    </row>
    <row r="139" spans="1:8" x14ac:dyDescent="0.25">
      <c r="A139" s="11" t="s">
        <v>293</v>
      </c>
      <c r="B139" s="11" t="s">
        <v>294</v>
      </c>
      <c r="C139" s="11" t="s">
        <v>557</v>
      </c>
      <c r="D139" s="11" t="s">
        <v>558</v>
      </c>
      <c r="E139" s="11" t="s">
        <v>296</v>
      </c>
      <c r="F139" s="11" t="s">
        <v>280</v>
      </c>
      <c r="G139" s="11" t="s">
        <v>404</v>
      </c>
      <c r="H139" s="11" t="s">
        <v>190</v>
      </c>
    </row>
    <row r="140" spans="1:8" x14ac:dyDescent="0.25">
      <c r="A140" s="11" t="s">
        <v>293</v>
      </c>
      <c r="B140" s="11" t="s">
        <v>294</v>
      </c>
      <c r="C140" s="11" t="s">
        <v>559</v>
      </c>
      <c r="D140" s="11" t="s">
        <v>560</v>
      </c>
      <c r="E140" s="11" t="s">
        <v>296</v>
      </c>
      <c r="F140" s="11" t="s">
        <v>280</v>
      </c>
      <c r="G140" s="11" t="s">
        <v>404</v>
      </c>
      <c r="H140" s="11" t="s">
        <v>190</v>
      </c>
    </row>
    <row r="141" spans="1:8" x14ac:dyDescent="0.25">
      <c r="A141" s="11" t="s">
        <v>293</v>
      </c>
      <c r="B141" s="11" t="s">
        <v>294</v>
      </c>
      <c r="C141" s="11" t="s">
        <v>561</v>
      </c>
      <c r="D141" s="11" t="s">
        <v>562</v>
      </c>
      <c r="E141" s="11" t="s">
        <v>296</v>
      </c>
      <c r="F141" s="11" t="s">
        <v>280</v>
      </c>
      <c r="G141" s="11" t="s">
        <v>404</v>
      </c>
      <c r="H141" s="11" t="s">
        <v>190</v>
      </c>
    </row>
    <row r="142" spans="1:8" x14ac:dyDescent="0.25">
      <c r="A142" s="11" t="s">
        <v>293</v>
      </c>
      <c r="B142" s="11" t="s">
        <v>294</v>
      </c>
      <c r="C142" s="11" t="s">
        <v>563</v>
      </c>
      <c r="D142" s="11" t="s">
        <v>564</v>
      </c>
      <c r="E142" s="11" t="s">
        <v>296</v>
      </c>
      <c r="F142" s="11" t="s">
        <v>280</v>
      </c>
      <c r="G142" s="11" t="s">
        <v>404</v>
      </c>
      <c r="H142" s="11" t="s">
        <v>190</v>
      </c>
    </row>
    <row r="143" spans="1:8" x14ac:dyDescent="0.25">
      <c r="A143" s="11" t="s">
        <v>293</v>
      </c>
      <c r="B143" s="11" t="s">
        <v>294</v>
      </c>
      <c r="C143" s="11" t="s">
        <v>565</v>
      </c>
      <c r="D143" s="11" t="s">
        <v>566</v>
      </c>
      <c r="E143" s="11" t="s">
        <v>296</v>
      </c>
      <c r="F143" s="11" t="s">
        <v>280</v>
      </c>
      <c r="G143" s="11" t="s">
        <v>404</v>
      </c>
      <c r="H143" s="11" t="s">
        <v>190</v>
      </c>
    </row>
    <row r="144" spans="1:8" x14ac:dyDescent="0.25">
      <c r="A144" s="11" t="s">
        <v>293</v>
      </c>
      <c r="B144" s="11" t="s">
        <v>294</v>
      </c>
      <c r="C144" s="11" t="s">
        <v>567</v>
      </c>
      <c r="D144" s="11" t="s">
        <v>568</v>
      </c>
      <c r="E144" s="11" t="s">
        <v>296</v>
      </c>
      <c r="F144" s="11" t="s">
        <v>280</v>
      </c>
      <c r="G144" s="11" t="s">
        <v>404</v>
      </c>
      <c r="H144" s="11" t="s">
        <v>190</v>
      </c>
    </row>
    <row r="145" spans="1:8" x14ac:dyDescent="0.25">
      <c r="A145" s="11" t="s">
        <v>293</v>
      </c>
      <c r="B145" s="11" t="s">
        <v>294</v>
      </c>
      <c r="C145" s="11" t="s">
        <v>569</v>
      </c>
      <c r="D145" s="11" t="s">
        <v>570</v>
      </c>
      <c r="E145" s="11" t="s">
        <v>296</v>
      </c>
      <c r="F145" s="11" t="s">
        <v>280</v>
      </c>
      <c r="G145" s="11" t="s">
        <v>404</v>
      </c>
      <c r="H145" s="11" t="s">
        <v>190</v>
      </c>
    </row>
    <row r="146" spans="1:8" x14ac:dyDescent="0.25">
      <c r="A146" s="11" t="s">
        <v>293</v>
      </c>
      <c r="B146" s="11" t="s">
        <v>294</v>
      </c>
      <c r="C146" s="11" t="s">
        <v>571</v>
      </c>
      <c r="D146" s="11" t="s">
        <v>572</v>
      </c>
      <c r="E146" s="11" t="s">
        <v>296</v>
      </c>
      <c r="F146" s="11" t="s">
        <v>280</v>
      </c>
      <c r="G146" s="11" t="s">
        <v>404</v>
      </c>
      <c r="H146" s="11" t="s">
        <v>190</v>
      </c>
    </row>
    <row r="147" spans="1:8" x14ac:dyDescent="0.25">
      <c r="A147" s="11" t="s">
        <v>293</v>
      </c>
      <c r="B147" s="11" t="s">
        <v>294</v>
      </c>
      <c r="C147" s="11" t="s">
        <v>573</v>
      </c>
      <c r="D147" s="11" t="s">
        <v>574</v>
      </c>
      <c r="E147" s="11" t="s">
        <v>296</v>
      </c>
      <c r="F147" s="11" t="s">
        <v>280</v>
      </c>
      <c r="G147" s="11" t="s">
        <v>404</v>
      </c>
      <c r="H147" s="11" t="s">
        <v>190</v>
      </c>
    </row>
    <row r="148" spans="1:8" x14ac:dyDescent="0.25">
      <c r="A148" s="11" t="s">
        <v>293</v>
      </c>
      <c r="B148" s="11" t="s">
        <v>294</v>
      </c>
      <c r="C148" s="11" t="s">
        <v>575</v>
      </c>
      <c r="D148" s="11" t="s">
        <v>576</v>
      </c>
      <c r="E148" s="11" t="s">
        <v>296</v>
      </c>
      <c r="F148" s="11" t="s">
        <v>280</v>
      </c>
      <c r="G148" s="11" t="s">
        <v>404</v>
      </c>
      <c r="H148" s="11" t="s">
        <v>190</v>
      </c>
    </row>
    <row r="149" spans="1:8" x14ac:dyDescent="0.25">
      <c r="A149" s="11" t="s">
        <v>293</v>
      </c>
      <c r="B149" s="11" t="s">
        <v>294</v>
      </c>
      <c r="C149" s="11" t="s">
        <v>577</v>
      </c>
      <c r="D149" s="11" t="s">
        <v>578</v>
      </c>
      <c r="E149" s="11" t="s">
        <v>296</v>
      </c>
      <c r="F149" s="11" t="s">
        <v>280</v>
      </c>
      <c r="G149" s="11" t="s">
        <v>404</v>
      </c>
      <c r="H149" s="11" t="s">
        <v>190</v>
      </c>
    </row>
    <row r="150" spans="1:8" x14ac:dyDescent="0.25">
      <c r="A150" s="11" t="s">
        <v>293</v>
      </c>
      <c r="B150" s="11" t="s">
        <v>294</v>
      </c>
      <c r="C150" s="11" t="s">
        <v>579</v>
      </c>
      <c r="D150" s="11" t="s">
        <v>580</v>
      </c>
      <c r="E150" s="11" t="s">
        <v>296</v>
      </c>
      <c r="F150" s="11" t="s">
        <v>280</v>
      </c>
      <c r="G150" s="11" t="s">
        <v>404</v>
      </c>
      <c r="H150" s="11" t="s">
        <v>190</v>
      </c>
    </row>
    <row r="151" spans="1:8" x14ac:dyDescent="0.25">
      <c r="A151" s="11" t="s">
        <v>293</v>
      </c>
      <c r="B151" s="11" t="s">
        <v>294</v>
      </c>
      <c r="C151" s="11" t="s">
        <v>581</v>
      </c>
      <c r="D151" s="11" t="s">
        <v>582</v>
      </c>
      <c r="E151" s="11" t="s">
        <v>296</v>
      </c>
      <c r="F151" s="11" t="s">
        <v>280</v>
      </c>
      <c r="G151" s="11" t="s">
        <v>404</v>
      </c>
      <c r="H151" s="11" t="s">
        <v>190</v>
      </c>
    </row>
    <row r="152" spans="1:8" x14ac:dyDescent="0.25">
      <c r="A152" s="11" t="s">
        <v>293</v>
      </c>
      <c r="B152" s="11" t="s">
        <v>294</v>
      </c>
      <c r="C152" s="11" t="s">
        <v>583</v>
      </c>
      <c r="D152" s="11" t="s">
        <v>584</v>
      </c>
      <c r="E152" s="11" t="s">
        <v>296</v>
      </c>
      <c r="F152" s="11" t="s">
        <v>280</v>
      </c>
      <c r="G152" s="11" t="s">
        <v>404</v>
      </c>
      <c r="H152" s="11" t="s">
        <v>190</v>
      </c>
    </row>
    <row r="153" spans="1:8" x14ac:dyDescent="0.25">
      <c r="A153" s="11" t="s">
        <v>293</v>
      </c>
      <c r="B153" s="11" t="s">
        <v>294</v>
      </c>
      <c r="C153" s="11" t="s">
        <v>585</v>
      </c>
      <c r="D153" s="11" t="s">
        <v>586</v>
      </c>
      <c r="E153" s="11" t="s">
        <v>296</v>
      </c>
      <c r="F153" s="11" t="s">
        <v>280</v>
      </c>
      <c r="G153" s="11" t="s">
        <v>404</v>
      </c>
      <c r="H153" s="11" t="s">
        <v>190</v>
      </c>
    </row>
    <row r="154" spans="1:8" x14ac:dyDescent="0.25">
      <c r="A154" s="11" t="s">
        <v>293</v>
      </c>
      <c r="B154" s="11" t="s">
        <v>294</v>
      </c>
      <c r="C154" s="11" t="s">
        <v>587</v>
      </c>
      <c r="D154" s="11" t="s">
        <v>588</v>
      </c>
      <c r="E154" s="11" t="s">
        <v>296</v>
      </c>
      <c r="F154" s="11" t="s">
        <v>280</v>
      </c>
      <c r="G154" s="11" t="s">
        <v>404</v>
      </c>
      <c r="H154" s="11" t="s">
        <v>190</v>
      </c>
    </row>
    <row r="155" spans="1:8" x14ac:dyDescent="0.25">
      <c r="A155" s="11" t="s">
        <v>287</v>
      </c>
      <c r="B155" s="11" t="s">
        <v>288</v>
      </c>
      <c r="C155" s="11" t="s">
        <v>89</v>
      </c>
      <c r="D155" s="11" t="s">
        <v>289</v>
      </c>
      <c r="E155" s="11" t="s">
        <v>290</v>
      </c>
      <c r="F155" s="11" t="s">
        <v>589</v>
      </c>
      <c r="G155" s="11" t="s">
        <v>590</v>
      </c>
      <c r="H155" s="11" t="s">
        <v>190</v>
      </c>
    </row>
    <row r="156" spans="1:8" x14ac:dyDescent="0.25">
      <c r="A156" s="11" t="s">
        <v>287</v>
      </c>
      <c r="B156" s="11" t="s">
        <v>288</v>
      </c>
      <c r="C156" s="11" t="s">
        <v>90</v>
      </c>
      <c r="D156" s="11" t="s">
        <v>292</v>
      </c>
      <c r="E156" s="11" t="s">
        <v>290</v>
      </c>
      <c r="F156" s="11" t="s">
        <v>591</v>
      </c>
      <c r="G156" s="11" t="s">
        <v>590</v>
      </c>
      <c r="H156" s="11" t="s">
        <v>190</v>
      </c>
    </row>
    <row r="157" spans="1:8" x14ac:dyDescent="0.25">
      <c r="A157" s="11" t="s">
        <v>287</v>
      </c>
      <c r="B157" s="11" t="s">
        <v>288</v>
      </c>
      <c r="C157" s="11" t="s">
        <v>91</v>
      </c>
      <c r="D157" s="11" t="s">
        <v>592</v>
      </c>
      <c r="E157" s="11" t="s">
        <v>290</v>
      </c>
      <c r="F157" s="11" t="s">
        <v>593</v>
      </c>
      <c r="G157" s="11" t="s">
        <v>590</v>
      </c>
      <c r="H157" s="11" t="s">
        <v>190</v>
      </c>
    </row>
    <row r="158" spans="1:8" x14ac:dyDescent="0.25">
      <c r="A158" s="11" t="s">
        <v>287</v>
      </c>
      <c r="B158" s="11" t="s">
        <v>288</v>
      </c>
      <c r="C158" s="11" t="s">
        <v>92</v>
      </c>
      <c r="D158" s="11" t="s">
        <v>594</v>
      </c>
      <c r="E158" s="11" t="s">
        <v>290</v>
      </c>
      <c r="F158" s="11" t="s">
        <v>595</v>
      </c>
      <c r="G158" s="11" t="s">
        <v>590</v>
      </c>
      <c r="H158" s="11" t="s">
        <v>190</v>
      </c>
    </row>
    <row r="159" spans="1:8" x14ac:dyDescent="0.25">
      <c r="A159" s="11" t="s">
        <v>287</v>
      </c>
      <c r="B159" s="11" t="s">
        <v>288</v>
      </c>
      <c r="C159" s="11" t="s">
        <v>93</v>
      </c>
      <c r="D159" s="11" t="s">
        <v>596</v>
      </c>
      <c r="E159" s="11" t="s">
        <v>290</v>
      </c>
      <c r="F159" s="11" t="s">
        <v>597</v>
      </c>
      <c r="G159" s="11" t="s">
        <v>590</v>
      </c>
      <c r="H159" s="11" t="s">
        <v>190</v>
      </c>
    </row>
    <row r="160" spans="1:8" x14ac:dyDescent="0.25">
      <c r="A160" s="11" t="s">
        <v>287</v>
      </c>
      <c r="B160" s="11" t="s">
        <v>288</v>
      </c>
      <c r="C160" s="11" t="s">
        <v>94</v>
      </c>
      <c r="D160" s="11" t="s">
        <v>598</v>
      </c>
      <c r="E160" s="11" t="s">
        <v>290</v>
      </c>
      <c r="F160" s="11" t="s">
        <v>599</v>
      </c>
      <c r="G160" s="11" t="s">
        <v>590</v>
      </c>
      <c r="H160" s="11" t="s">
        <v>190</v>
      </c>
    </row>
    <row r="161" spans="1:8" x14ac:dyDescent="0.25">
      <c r="A161" s="11" t="s">
        <v>287</v>
      </c>
      <c r="B161" s="11" t="s">
        <v>288</v>
      </c>
      <c r="C161" s="11" t="s">
        <v>95</v>
      </c>
      <c r="D161" s="11" t="s">
        <v>600</v>
      </c>
      <c r="E161" s="11" t="s">
        <v>290</v>
      </c>
      <c r="F161" s="11" t="s">
        <v>601</v>
      </c>
      <c r="G161" s="11" t="s">
        <v>590</v>
      </c>
      <c r="H161" s="11" t="s">
        <v>190</v>
      </c>
    </row>
    <row r="162" spans="1:8" x14ac:dyDescent="0.25">
      <c r="A162" s="11" t="s">
        <v>287</v>
      </c>
      <c r="B162" s="11" t="s">
        <v>288</v>
      </c>
      <c r="C162" s="11" t="s">
        <v>96</v>
      </c>
      <c r="D162" s="11" t="s">
        <v>602</v>
      </c>
      <c r="E162" s="11" t="s">
        <v>290</v>
      </c>
      <c r="F162" s="11" t="s">
        <v>603</v>
      </c>
      <c r="G162" s="11" t="s">
        <v>590</v>
      </c>
      <c r="H162" s="11" t="s">
        <v>190</v>
      </c>
    </row>
    <row r="163" spans="1:8" x14ac:dyDescent="0.25">
      <c r="A163" s="11" t="s">
        <v>287</v>
      </c>
      <c r="B163" s="11" t="s">
        <v>288</v>
      </c>
      <c r="C163" s="11" t="s">
        <v>604</v>
      </c>
      <c r="D163" s="11" t="s">
        <v>605</v>
      </c>
      <c r="E163" s="11" t="s">
        <v>290</v>
      </c>
      <c r="F163" s="11" t="s">
        <v>606</v>
      </c>
      <c r="G163" s="11" t="s">
        <v>590</v>
      </c>
      <c r="H163" s="11" t="s">
        <v>190</v>
      </c>
    </row>
    <row r="164" spans="1:8" x14ac:dyDescent="0.25">
      <c r="A164" s="11" t="s">
        <v>287</v>
      </c>
      <c r="B164" s="11" t="s">
        <v>288</v>
      </c>
      <c r="C164" s="11" t="s">
        <v>607</v>
      </c>
      <c r="D164" s="11" t="s">
        <v>608</v>
      </c>
      <c r="E164" s="11" t="s">
        <v>290</v>
      </c>
      <c r="F164" s="11" t="s">
        <v>609</v>
      </c>
      <c r="G164" s="11" t="s">
        <v>590</v>
      </c>
      <c r="H164" s="11" t="s">
        <v>190</v>
      </c>
    </row>
    <row r="165" spans="1:8" x14ac:dyDescent="0.25">
      <c r="A165" s="11" t="s">
        <v>287</v>
      </c>
      <c r="B165" s="11" t="s">
        <v>288</v>
      </c>
      <c r="C165" s="11" t="s">
        <v>610</v>
      </c>
      <c r="D165" s="11" t="s">
        <v>611</v>
      </c>
      <c r="E165" s="11" t="s">
        <v>290</v>
      </c>
      <c r="F165" s="11" t="s">
        <v>612</v>
      </c>
      <c r="G165" s="11" t="s">
        <v>590</v>
      </c>
      <c r="H165" s="11" t="s">
        <v>190</v>
      </c>
    </row>
    <row r="166" spans="1:8" x14ac:dyDescent="0.25">
      <c r="A166" s="11" t="s">
        <v>287</v>
      </c>
      <c r="B166" s="11" t="s">
        <v>288</v>
      </c>
      <c r="C166" s="11" t="s">
        <v>613</v>
      </c>
      <c r="D166" s="11" t="s">
        <v>614</v>
      </c>
      <c r="E166" s="11" t="s">
        <v>290</v>
      </c>
      <c r="F166" s="11" t="s">
        <v>615</v>
      </c>
      <c r="G166" s="11" t="s">
        <v>590</v>
      </c>
      <c r="H166" s="11" t="s">
        <v>190</v>
      </c>
    </row>
    <row r="167" spans="1:8" x14ac:dyDescent="0.25">
      <c r="A167" s="11" t="s">
        <v>287</v>
      </c>
      <c r="B167" s="11" t="s">
        <v>288</v>
      </c>
      <c r="C167" s="11" t="s">
        <v>616</v>
      </c>
      <c r="D167" s="11" t="s">
        <v>617</v>
      </c>
      <c r="E167" s="11" t="s">
        <v>290</v>
      </c>
      <c r="F167" s="11" t="s">
        <v>618</v>
      </c>
      <c r="G167" s="11" t="s">
        <v>590</v>
      </c>
      <c r="H167" s="11" t="s">
        <v>190</v>
      </c>
    </row>
    <row r="168" spans="1:8" x14ac:dyDescent="0.25">
      <c r="A168" s="11" t="s">
        <v>287</v>
      </c>
      <c r="B168" s="11" t="s">
        <v>288</v>
      </c>
      <c r="C168" s="11" t="s">
        <v>619</v>
      </c>
      <c r="D168" s="11" t="s">
        <v>620</v>
      </c>
      <c r="E168" s="11" t="s">
        <v>290</v>
      </c>
      <c r="F168" s="11" t="s">
        <v>621</v>
      </c>
      <c r="G168" s="11" t="s">
        <v>590</v>
      </c>
      <c r="H168" s="11" t="s">
        <v>190</v>
      </c>
    </row>
    <row r="169" spans="1:8" x14ac:dyDescent="0.25">
      <c r="A169" s="11" t="s">
        <v>287</v>
      </c>
      <c r="B169" s="11" t="s">
        <v>288</v>
      </c>
      <c r="C169" s="11" t="s">
        <v>622</v>
      </c>
      <c r="D169" s="11" t="s">
        <v>623</v>
      </c>
      <c r="E169" s="11" t="s">
        <v>290</v>
      </c>
      <c r="F169" s="11" t="s">
        <v>624</v>
      </c>
      <c r="G169" s="11" t="s">
        <v>590</v>
      </c>
      <c r="H169" s="11" t="s">
        <v>190</v>
      </c>
    </row>
    <row r="170" spans="1:8" x14ac:dyDescent="0.25">
      <c r="A170" s="11" t="s">
        <v>287</v>
      </c>
      <c r="B170" s="11" t="s">
        <v>288</v>
      </c>
      <c r="C170" s="11" t="s">
        <v>625</v>
      </c>
      <c r="D170" s="11" t="s">
        <v>626</v>
      </c>
      <c r="E170" s="11" t="s">
        <v>290</v>
      </c>
      <c r="F170" s="11" t="s">
        <v>627</v>
      </c>
      <c r="G170" s="11" t="s">
        <v>590</v>
      </c>
      <c r="H170" s="11" t="s">
        <v>190</v>
      </c>
    </row>
    <row r="171" spans="1:8" x14ac:dyDescent="0.25">
      <c r="A171" s="11" t="s">
        <v>287</v>
      </c>
      <c r="B171" s="11" t="s">
        <v>288</v>
      </c>
      <c r="C171" s="11" t="s">
        <v>628</v>
      </c>
      <c r="D171" s="11" t="s">
        <v>629</v>
      </c>
      <c r="E171" s="11" t="s">
        <v>290</v>
      </c>
      <c r="F171" s="11" t="s">
        <v>630</v>
      </c>
      <c r="G171" s="11" t="s">
        <v>590</v>
      </c>
      <c r="H171" s="11" t="s">
        <v>190</v>
      </c>
    </row>
    <row r="172" spans="1:8" x14ac:dyDescent="0.25">
      <c r="A172" s="11" t="s">
        <v>287</v>
      </c>
      <c r="B172" s="11" t="s">
        <v>288</v>
      </c>
      <c r="C172" s="11" t="s">
        <v>631</v>
      </c>
      <c r="D172" s="11" t="s">
        <v>632</v>
      </c>
      <c r="E172" s="11" t="s">
        <v>290</v>
      </c>
      <c r="F172" s="11" t="s">
        <v>633</v>
      </c>
      <c r="G172" s="11" t="s">
        <v>590</v>
      </c>
      <c r="H172" s="11" t="s">
        <v>190</v>
      </c>
    </row>
    <row r="173" spans="1:8" x14ac:dyDescent="0.25">
      <c r="A173" s="11" t="s">
        <v>287</v>
      </c>
      <c r="B173" s="11" t="s">
        <v>288</v>
      </c>
      <c r="C173" s="11" t="s">
        <v>634</v>
      </c>
      <c r="D173" s="11" t="s">
        <v>635</v>
      </c>
      <c r="E173" s="11" t="s">
        <v>290</v>
      </c>
      <c r="F173" s="11" t="s">
        <v>636</v>
      </c>
      <c r="G173" s="11" t="s">
        <v>590</v>
      </c>
      <c r="H173" s="11" t="s">
        <v>190</v>
      </c>
    </row>
    <row r="174" spans="1:8" x14ac:dyDescent="0.25">
      <c r="A174" s="11" t="s">
        <v>287</v>
      </c>
      <c r="B174" s="11" t="s">
        <v>288</v>
      </c>
      <c r="C174" s="11" t="s">
        <v>637</v>
      </c>
      <c r="D174" s="11" t="s">
        <v>638</v>
      </c>
      <c r="E174" s="11" t="s">
        <v>290</v>
      </c>
      <c r="F174" s="11" t="s">
        <v>639</v>
      </c>
      <c r="G174" s="11" t="s">
        <v>590</v>
      </c>
      <c r="H174" s="11" t="s">
        <v>190</v>
      </c>
    </row>
    <row r="175" spans="1:8" x14ac:dyDescent="0.25">
      <c r="A175" s="11" t="s">
        <v>287</v>
      </c>
      <c r="B175" s="11" t="s">
        <v>288</v>
      </c>
      <c r="C175" s="11" t="s">
        <v>640</v>
      </c>
      <c r="D175" s="11" t="s">
        <v>641</v>
      </c>
      <c r="E175" s="11" t="s">
        <v>290</v>
      </c>
      <c r="F175" s="11" t="s">
        <v>642</v>
      </c>
      <c r="G175" s="11" t="s">
        <v>590</v>
      </c>
      <c r="H175" s="11" t="s">
        <v>190</v>
      </c>
    </row>
    <row r="176" spans="1:8" x14ac:dyDescent="0.25">
      <c r="A176" s="11" t="s">
        <v>287</v>
      </c>
      <c r="B176" s="11" t="s">
        <v>288</v>
      </c>
      <c r="C176" s="11" t="s">
        <v>643</v>
      </c>
      <c r="D176" s="11" t="s">
        <v>644</v>
      </c>
      <c r="E176" s="11" t="s">
        <v>290</v>
      </c>
      <c r="F176" s="11" t="s">
        <v>645</v>
      </c>
      <c r="G176" s="11" t="s">
        <v>590</v>
      </c>
      <c r="H176" s="11" t="s">
        <v>190</v>
      </c>
    </row>
    <row r="177" spans="1:8" x14ac:dyDescent="0.25">
      <c r="A177" s="11" t="s">
        <v>287</v>
      </c>
      <c r="B177" s="11" t="s">
        <v>288</v>
      </c>
      <c r="C177" s="11" t="s">
        <v>646</v>
      </c>
      <c r="D177" s="11" t="s">
        <v>647</v>
      </c>
      <c r="E177" s="11" t="s">
        <v>290</v>
      </c>
      <c r="F177" s="11" t="s">
        <v>648</v>
      </c>
      <c r="G177" s="11" t="s">
        <v>590</v>
      </c>
      <c r="H177" s="11" t="s">
        <v>190</v>
      </c>
    </row>
    <row r="178" spans="1:8" x14ac:dyDescent="0.25">
      <c r="A178" s="11" t="s">
        <v>287</v>
      </c>
      <c r="B178" s="11" t="s">
        <v>288</v>
      </c>
      <c r="C178" s="11" t="s">
        <v>649</v>
      </c>
      <c r="D178" s="11" t="s">
        <v>650</v>
      </c>
      <c r="E178" s="11" t="s">
        <v>290</v>
      </c>
      <c r="F178" s="11" t="s">
        <v>651</v>
      </c>
      <c r="G178" s="11" t="s">
        <v>590</v>
      </c>
      <c r="H178" s="11" t="s">
        <v>190</v>
      </c>
    </row>
    <row r="179" spans="1:8" x14ac:dyDescent="0.25">
      <c r="A179" s="11" t="s">
        <v>287</v>
      </c>
      <c r="B179" s="11" t="s">
        <v>288</v>
      </c>
      <c r="C179" s="11" t="s">
        <v>652</v>
      </c>
      <c r="D179" s="11" t="s">
        <v>653</v>
      </c>
      <c r="E179" s="11" t="s">
        <v>290</v>
      </c>
      <c r="F179" s="11" t="s">
        <v>654</v>
      </c>
      <c r="G179" s="11" t="s">
        <v>590</v>
      </c>
      <c r="H179" s="11" t="s">
        <v>190</v>
      </c>
    </row>
    <row r="180" spans="1:8" x14ac:dyDescent="0.25">
      <c r="A180" s="11" t="s">
        <v>287</v>
      </c>
      <c r="B180" s="11" t="s">
        <v>288</v>
      </c>
      <c r="C180" s="11" t="s">
        <v>655</v>
      </c>
      <c r="D180" s="11" t="s">
        <v>656</v>
      </c>
      <c r="E180" s="11" t="s">
        <v>290</v>
      </c>
      <c r="F180" s="11" t="s">
        <v>657</v>
      </c>
      <c r="G180" s="11" t="s">
        <v>590</v>
      </c>
      <c r="H180" s="11" t="s">
        <v>190</v>
      </c>
    </row>
    <row r="181" spans="1:8" x14ac:dyDescent="0.25">
      <c r="A181" s="11" t="s">
        <v>287</v>
      </c>
      <c r="B181" s="11" t="s">
        <v>288</v>
      </c>
      <c r="C181" s="11" t="s">
        <v>658</v>
      </c>
      <c r="D181" s="11" t="s">
        <v>659</v>
      </c>
      <c r="E181" s="11" t="s">
        <v>290</v>
      </c>
      <c r="F181" s="11" t="s">
        <v>660</v>
      </c>
      <c r="G181" s="11" t="s">
        <v>590</v>
      </c>
      <c r="H181" s="11" t="s">
        <v>190</v>
      </c>
    </row>
    <row r="182" spans="1:8" x14ac:dyDescent="0.25">
      <c r="A182" s="11" t="s">
        <v>287</v>
      </c>
      <c r="B182" s="11" t="s">
        <v>288</v>
      </c>
      <c r="C182" s="11" t="s">
        <v>661</v>
      </c>
      <c r="D182" s="11" t="s">
        <v>662</v>
      </c>
      <c r="E182" s="11" t="s">
        <v>290</v>
      </c>
      <c r="F182" s="11" t="s">
        <v>663</v>
      </c>
      <c r="G182" s="11" t="s">
        <v>590</v>
      </c>
      <c r="H182" s="11" t="s">
        <v>190</v>
      </c>
    </row>
    <row r="183" spans="1:8" x14ac:dyDescent="0.25">
      <c r="A183" s="11" t="s">
        <v>287</v>
      </c>
      <c r="B183" s="11" t="s">
        <v>288</v>
      </c>
      <c r="C183" s="11" t="s">
        <v>664</v>
      </c>
      <c r="D183" s="11" t="s">
        <v>665</v>
      </c>
      <c r="E183" s="11" t="s">
        <v>290</v>
      </c>
      <c r="F183" s="11" t="s">
        <v>666</v>
      </c>
      <c r="G183" s="11" t="s">
        <v>590</v>
      </c>
      <c r="H183" s="11" t="s">
        <v>190</v>
      </c>
    </row>
    <row r="184" spans="1:8" x14ac:dyDescent="0.25">
      <c r="A184" s="11" t="s">
        <v>287</v>
      </c>
      <c r="B184" s="11" t="s">
        <v>288</v>
      </c>
      <c r="C184" s="11" t="s">
        <v>667</v>
      </c>
      <c r="D184" s="11" t="s">
        <v>668</v>
      </c>
      <c r="E184" s="11" t="s">
        <v>290</v>
      </c>
      <c r="F184" s="11" t="s">
        <v>669</v>
      </c>
      <c r="G184" s="11" t="s">
        <v>590</v>
      </c>
      <c r="H184" s="11" t="s">
        <v>190</v>
      </c>
    </row>
    <row r="185" spans="1:8" x14ac:dyDescent="0.25">
      <c r="A185" s="11" t="s">
        <v>287</v>
      </c>
      <c r="B185" s="11" t="s">
        <v>288</v>
      </c>
      <c r="C185" s="11" t="s">
        <v>670</v>
      </c>
      <c r="D185" s="11" t="s">
        <v>671</v>
      </c>
      <c r="E185" s="11" t="s">
        <v>290</v>
      </c>
      <c r="F185" s="11" t="s">
        <v>672</v>
      </c>
      <c r="G185" s="11" t="s">
        <v>590</v>
      </c>
      <c r="H185" s="11" t="s">
        <v>190</v>
      </c>
    </row>
    <row r="186" spans="1:8" x14ac:dyDescent="0.25">
      <c r="A186" s="11" t="s">
        <v>287</v>
      </c>
      <c r="B186" s="11" t="s">
        <v>288</v>
      </c>
      <c r="C186" s="11" t="s">
        <v>673</v>
      </c>
      <c r="D186" s="11" t="s">
        <v>674</v>
      </c>
      <c r="E186" s="11" t="s">
        <v>290</v>
      </c>
      <c r="F186" s="11" t="s">
        <v>675</v>
      </c>
      <c r="G186" s="11" t="s">
        <v>590</v>
      </c>
      <c r="H186" s="11" t="s">
        <v>190</v>
      </c>
    </row>
    <row r="187" spans="1:8" x14ac:dyDescent="0.25">
      <c r="A187" s="11" t="s">
        <v>287</v>
      </c>
      <c r="B187" s="11" t="s">
        <v>288</v>
      </c>
      <c r="C187" s="11" t="s">
        <v>676</v>
      </c>
      <c r="D187" s="11" t="s">
        <v>677</v>
      </c>
      <c r="E187" s="11" t="s">
        <v>290</v>
      </c>
      <c r="F187" s="11" t="s">
        <v>678</v>
      </c>
      <c r="G187" s="11" t="s">
        <v>590</v>
      </c>
      <c r="H187" s="11" t="s">
        <v>190</v>
      </c>
    </row>
    <row r="188" spans="1:8" x14ac:dyDescent="0.25">
      <c r="A188" s="11" t="s">
        <v>287</v>
      </c>
      <c r="B188" s="11" t="s">
        <v>288</v>
      </c>
      <c r="C188" s="11" t="s">
        <v>679</v>
      </c>
      <c r="D188" s="11" t="s">
        <v>680</v>
      </c>
      <c r="E188" s="11" t="s">
        <v>290</v>
      </c>
      <c r="F188" s="11" t="s">
        <v>681</v>
      </c>
      <c r="G188" s="11" t="s">
        <v>590</v>
      </c>
      <c r="H188" s="11" t="s">
        <v>190</v>
      </c>
    </row>
    <row r="189" spans="1:8" x14ac:dyDescent="0.25">
      <c r="A189" s="11" t="s">
        <v>287</v>
      </c>
      <c r="B189" s="11" t="s">
        <v>288</v>
      </c>
      <c r="C189" s="11" t="s">
        <v>682</v>
      </c>
      <c r="D189" s="11" t="s">
        <v>683</v>
      </c>
      <c r="E189" s="11" t="s">
        <v>290</v>
      </c>
      <c r="F189" s="11" t="s">
        <v>684</v>
      </c>
      <c r="G189" s="11" t="s">
        <v>590</v>
      </c>
      <c r="H189" s="11" t="s">
        <v>190</v>
      </c>
    </row>
    <row r="190" spans="1:8" x14ac:dyDescent="0.25">
      <c r="A190" s="11" t="s">
        <v>287</v>
      </c>
      <c r="B190" s="11" t="s">
        <v>288</v>
      </c>
      <c r="C190" s="11" t="s">
        <v>685</v>
      </c>
      <c r="D190" s="11" t="s">
        <v>686</v>
      </c>
      <c r="E190" s="11" t="s">
        <v>290</v>
      </c>
      <c r="F190" s="11" t="s">
        <v>687</v>
      </c>
      <c r="G190" s="11" t="s">
        <v>590</v>
      </c>
      <c r="H190" s="11" t="s">
        <v>190</v>
      </c>
    </row>
    <row r="191" spans="1:8" x14ac:dyDescent="0.25">
      <c r="A191" s="11" t="s">
        <v>287</v>
      </c>
      <c r="B191" s="11" t="s">
        <v>288</v>
      </c>
      <c r="C191" s="11" t="s">
        <v>688</v>
      </c>
      <c r="D191" s="11" t="s">
        <v>689</v>
      </c>
      <c r="E191" s="11" t="s">
        <v>290</v>
      </c>
      <c r="F191" s="11" t="s">
        <v>690</v>
      </c>
      <c r="G191" s="11" t="s">
        <v>590</v>
      </c>
      <c r="H191" s="11" t="s">
        <v>190</v>
      </c>
    </row>
    <row r="192" spans="1:8" x14ac:dyDescent="0.25">
      <c r="A192" s="11" t="s">
        <v>287</v>
      </c>
      <c r="B192" s="11" t="s">
        <v>288</v>
      </c>
      <c r="C192" s="11" t="s">
        <v>691</v>
      </c>
      <c r="D192" s="11" t="s">
        <v>692</v>
      </c>
      <c r="E192" s="11" t="s">
        <v>290</v>
      </c>
      <c r="F192" s="11" t="s">
        <v>693</v>
      </c>
      <c r="G192" s="11" t="s">
        <v>590</v>
      </c>
      <c r="H192" s="11" t="s">
        <v>190</v>
      </c>
    </row>
    <row r="193" spans="1:8" x14ac:dyDescent="0.25">
      <c r="A193" s="11" t="s">
        <v>287</v>
      </c>
      <c r="B193" s="11" t="s">
        <v>288</v>
      </c>
      <c r="C193" s="11" t="s">
        <v>694</v>
      </c>
      <c r="D193" s="11" t="s">
        <v>695</v>
      </c>
      <c r="E193" s="11" t="s">
        <v>290</v>
      </c>
      <c r="F193" s="11" t="s">
        <v>696</v>
      </c>
      <c r="G193" s="11" t="s">
        <v>590</v>
      </c>
      <c r="H193" s="11" t="s">
        <v>190</v>
      </c>
    </row>
    <row r="194" spans="1:8" x14ac:dyDescent="0.25">
      <c r="A194" s="11" t="s">
        <v>287</v>
      </c>
      <c r="B194" s="11" t="s">
        <v>288</v>
      </c>
      <c r="C194" s="11" t="s">
        <v>697</v>
      </c>
      <c r="D194" s="11" t="s">
        <v>698</v>
      </c>
      <c r="E194" s="11" t="s">
        <v>290</v>
      </c>
      <c r="F194" s="11" t="s">
        <v>699</v>
      </c>
      <c r="G194" s="11" t="s">
        <v>590</v>
      </c>
      <c r="H194" s="11" t="s">
        <v>190</v>
      </c>
    </row>
    <row r="195" spans="1:8" x14ac:dyDescent="0.25">
      <c r="A195" s="11" t="s">
        <v>287</v>
      </c>
      <c r="B195" s="11" t="s">
        <v>288</v>
      </c>
      <c r="C195" s="11" t="s">
        <v>700</v>
      </c>
      <c r="D195" s="11" t="s">
        <v>701</v>
      </c>
      <c r="E195" s="11" t="s">
        <v>290</v>
      </c>
      <c r="F195" s="11" t="s">
        <v>702</v>
      </c>
      <c r="G195" s="11" t="s">
        <v>590</v>
      </c>
      <c r="H195" s="11" t="s">
        <v>190</v>
      </c>
    </row>
    <row r="196" spans="1:8" x14ac:dyDescent="0.25">
      <c r="A196" s="11" t="s">
        <v>287</v>
      </c>
      <c r="B196" s="11" t="s">
        <v>288</v>
      </c>
      <c r="C196" s="11" t="s">
        <v>703</v>
      </c>
      <c r="D196" s="11" t="s">
        <v>704</v>
      </c>
      <c r="E196" s="11" t="s">
        <v>290</v>
      </c>
      <c r="F196" s="11" t="s">
        <v>705</v>
      </c>
      <c r="G196" s="11" t="s">
        <v>590</v>
      </c>
      <c r="H196" s="11" t="s">
        <v>190</v>
      </c>
    </row>
    <row r="197" spans="1:8" x14ac:dyDescent="0.25">
      <c r="A197" s="11" t="s">
        <v>287</v>
      </c>
      <c r="B197" s="11" t="s">
        <v>288</v>
      </c>
      <c r="C197" s="11" t="s">
        <v>706</v>
      </c>
      <c r="D197" s="11" t="s">
        <v>707</v>
      </c>
      <c r="E197" s="11" t="s">
        <v>290</v>
      </c>
      <c r="F197" s="11" t="s">
        <v>708</v>
      </c>
      <c r="G197" s="11" t="s">
        <v>590</v>
      </c>
      <c r="H197" s="11" t="s">
        <v>190</v>
      </c>
    </row>
    <row r="198" spans="1:8" x14ac:dyDescent="0.25">
      <c r="A198" s="11" t="s">
        <v>287</v>
      </c>
      <c r="B198" s="11" t="s">
        <v>288</v>
      </c>
      <c r="C198" s="11" t="s">
        <v>709</v>
      </c>
      <c r="D198" s="11" t="s">
        <v>710</v>
      </c>
      <c r="E198" s="11" t="s">
        <v>290</v>
      </c>
      <c r="F198" s="11" t="s">
        <v>711</v>
      </c>
      <c r="G198" s="11" t="s">
        <v>590</v>
      </c>
      <c r="H198" s="11" t="s">
        <v>190</v>
      </c>
    </row>
    <row r="199" spans="1:8" x14ac:dyDescent="0.25">
      <c r="A199" s="11" t="s">
        <v>287</v>
      </c>
      <c r="B199" s="11" t="s">
        <v>288</v>
      </c>
      <c r="C199" s="11" t="s">
        <v>712</v>
      </c>
      <c r="D199" s="11" t="s">
        <v>713</v>
      </c>
      <c r="E199" s="11" t="s">
        <v>290</v>
      </c>
      <c r="F199" s="11" t="s">
        <v>714</v>
      </c>
      <c r="G199" s="11" t="s">
        <v>590</v>
      </c>
      <c r="H199" s="11" t="s">
        <v>190</v>
      </c>
    </row>
    <row r="200" spans="1:8" x14ac:dyDescent="0.25">
      <c r="A200" s="11" t="s">
        <v>287</v>
      </c>
      <c r="B200" s="11" t="s">
        <v>288</v>
      </c>
      <c r="C200" s="11" t="s">
        <v>715</v>
      </c>
      <c r="D200" s="11" t="s">
        <v>716</v>
      </c>
      <c r="E200" s="11" t="s">
        <v>290</v>
      </c>
      <c r="F200" s="11" t="s">
        <v>717</v>
      </c>
      <c r="G200" s="11" t="s">
        <v>590</v>
      </c>
      <c r="H200" s="11" t="s">
        <v>190</v>
      </c>
    </row>
    <row r="201" spans="1:8" x14ac:dyDescent="0.25">
      <c r="A201" s="11" t="s">
        <v>287</v>
      </c>
      <c r="B201" s="11" t="s">
        <v>288</v>
      </c>
      <c r="C201" s="11" t="s">
        <v>718</v>
      </c>
      <c r="D201" s="11" t="s">
        <v>719</v>
      </c>
      <c r="E201" s="11" t="s">
        <v>290</v>
      </c>
      <c r="F201" s="11" t="s">
        <v>720</v>
      </c>
      <c r="G201" s="11" t="s">
        <v>590</v>
      </c>
      <c r="H201" s="11" t="s">
        <v>190</v>
      </c>
    </row>
    <row r="202" spans="1:8" x14ac:dyDescent="0.25">
      <c r="A202" s="11" t="s">
        <v>287</v>
      </c>
      <c r="B202" s="11" t="s">
        <v>288</v>
      </c>
      <c r="C202" s="11" t="s">
        <v>721</v>
      </c>
      <c r="D202" s="11" t="s">
        <v>722</v>
      </c>
      <c r="E202" s="11" t="s">
        <v>290</v>
      </c>
      <c r="F202" s="11" t="s">
        <v>723</v>
      </c>
      <c r="G202" s="11" t="s">
        <v>590</v>
      </c>
      <c r="H202" s="11" t="s">
        <v>190</v>
      </c>
    </row>
    <row r="203" spans="1:8" x14ac:dyDescent="0.25">
      <c r="A203" s="11" t="s">
        <v>287</v>
      </c>
      <c r="B203" s="11" t="s">
        <v>288</v>
      </c>
      <c r="C203" s="11" t="s">
        <v>724</v>
      </c>
      <c r="D203" s="11" t="s">
        <v>725</v>
      </c>
      <c r="E203" s="11" t="s">
        <v>290</v>
      </c>
      <c r="F203" s="11" t="s">
        <v>726</v>
      </c>
      <c r="G203" s="11" t="s">
        <v>590</v>
      </c>
      <c r="H203" s="11" t="s">
        <v>190</v>
      </c>
    </row>
    <row r="204" spans="1:8" x14ac:dyDescent="0.25">
      <c r="A204" s="11" t="s">
        <v>287</v>
      </c>
      <c r="B204" s="11" t="s">
        <v>288</v>
      </c>
      <c r="C204" s="11" t="s">
        <v>727</v>
      </c>
      <c r="D204" s="11" t="s">
        <v>728</v>
      </c>
      <c r="E204" s="11" t="s">
        <v>290</v>
      </c>
      <c r="F204" s="11" t="s">
        <v>729</v>
      </c>
      <c r="G204" s="11" t="s">
        <v>590</v>
      </c>
      <c r="H204" s="11" t="s">
        <v>190</v>
      </c>
    </row>
    <row r="205" spans="1:8" x14ac:dyDescent="0.25">
      <c r="A205" s="11" t="s">
        <v>266</v>
      </c>
      <c r="B205" s="15" t="s">
        <v>271</v>
      </c>
      <c r="C205" s="11" t="s">
        <v>730</v>
      </c>
      <c r="D205" s="11" t="s">
        <v>731</v>
      </c>
      <c r="E205" t="s">
        <v>274</v>
      </c>
      <c r="F205" t="s">
        <v>260</v>
      </c>
      <c r="G205" t="s">
        <v>261</v>
      </c>
      <c r="H205" t="s">
        <v>190</v>
      </c>
    </row>
    <row r="206" spans="1:8" x14ac:dyDescent="0.25">
      <c r="A206" s="11" t="s">
        <v>266</v>
      </c>
      <c r="B206" s="15" t="s">
        <v>271</v>
      </c>
      <c r="C206" s="11" t="s">
        <v>130</v>
      </c>
      <c r="D206" s="11" t="s">
        <v>732</v>
      </c>
      <c r="E206" t="s">
        <v>733</v>
      </c>
      <c r="F206" t="s">
        <v>260</v>
      </c>
      <c r="G206" t="s">
        <v>261</v>
      </c>
      <c r="H206" t="s">
        <v>190</v>
      </c>
    </row>
    <row r="207" spans="1:8" x14ac:dyDescent="0.25">
      <c r="A207" s="11" t="s">
        <v>266</v>
      </c>
      <c r="B207" s="15" t="s">
        <v>271</v>
      </c>
      <c r="C207" s="11" t="s">
        <v>734</v>
      </c>
      <c r="D207" s="11" t="s">
        <v>735</v>
      </c>
      <c r="E207" t="s">
        <v>736</v>
      </c>
      <c r="F207" t="s">
        <v>260</v>
      </c>
      <c r="G207" t="s">
        <v>261</v>
      </c>
      <c r="H207" t="s">
        <v>190</v>
      </c>
    </row>
    <row r="208" spans="1:8" x14ac:dyDescent="0.25">
      <c r="A208" s="11" t="s">
        <v>266</v>
      </c>
      <c r="B208" s="15" t="s">
        <v>271</v>
      </c>
      <c r="C208" s="11" t="s">
        <v>737</v>
      </c>
      <c r="D208" s="11" t="s">
        <v>738</v>
      </c>
      <c r="E208" t="s">
        <v>739</v>
      </c>
      <c r="F208" t="s">
        <v>260</v>
      </c>
      <c r="G208" t="s">
        <v>261</v>
      </c>
      <c r="H208" t="s">
        <v>190</v>
      </c>
    </row>
    <row r="209" spans="1:8" x14ac:dyDescent="0.25">
      <c r="A209" s="11" t="s">
        <v>266</v>
      </c>
      <c r="B209" s="15" t="s">
        <v>271</v>
      </c>
      <c r="C209" s="11" t="s">
        <v>131</v>
      </c>
      <c r="D209" s="11" t="s">
        <v>740</v>
      </c>
      <c r="E209" t="s">
        <v>741</v>
      </c>
      <c r="F209" t="s">
        <v>260</v>
      </c>
      <c r="G209" t="s">
        <v>261</v>
      </c>
      <c r="H209" t="s">
        <v>190</v>
      </c>
    </row>
    <row r="210" spans="1:8" x14ac:dyDescent="0.25">
      <c r="A210" s="11" t="s">
        <v>266</v>
      </c>
      <c r="B210" s="15" t="s">
        <v>271</v>
      </c>
      <c r="C210" s="11" t="s">
        <v>132</v>
      </c>
      <c r="D210" s="11" t="s">
        <v>742</v>
      </c>
      <c r="E210" t="s">
        <v>743</v>
      </c>
      <c r="F210" t="s">
        <v>260</v>
      </c>
      <c r="G210" t="s">
        <v>261</v>
      </c>
      <c r="H210" t="s">
        <v>190</v>
      </c>
    </row>
    <row r="211" spans="1:8" x14ac:dyDescent="0.25">
      <c r="A211" s="11" t="s">
        <v>266</v>
      </c>
      <c r="B211" s="15" t="s">
        <v>271</v>
      </c>
      <c r="C211" s="11" t="s">
        <v>133</v>
      </c>
      <c r="D211" s="11" t="s">
        <v>744</v>
      </c>
      <c r="E211" t="s">
        <v>745</v>
      </c>
      <c r="F211" t="s">
        <v>260</v>
      </c>
      <c r="G211" t="s">
        <v>261</v>
      </c>
      <c r="H211" t="s">
        <v>190</v>
      </c>
    </row>
    <row r="212" spans="1:8" x14ac:dyDescent="0.25">
      <c r="A212" s="11" t="s">
        <v>266</v>
      </c>
      <c r="B212" s="15" t="s">
        <v>271</v>
      </c>
      <c r="C212" s="11" t="s">
        <v>746</v>
      </c>
      <c r="D212" s="11" t="s">
        <v>747</v>
      </c>
      <c r="E212" t="s">
        <v>748</v>
      </c>
      <c r="F212" t="s">
        <v>260</v>
      </c>
      <c r="G212" t="s">
        <v>261</v>
      </c>
      <c r="H212" t="s">
        <v>190</v>
      </c>
    </row>
    <row r="213" spans="1:8" x14ac:dyDescent="0.25">
      <c r="A213" s="11" t="s">
        <v>266</v>
      </c>
      <c r="B213" s="15" t="s">
        <v>271</v>
      </c>
      <c r="C213" s="11" t="s">
        <v>134</v>
      </c>
      <c r="D213" s="11" t="s">
        <v>749</v>
      </c>
      <c r="E213" t="s">
        <v>750</v>
      </c>
      <c r="F213" t="s">
        <v>260</v>
      </c>
      <c r="G213" t="s">
        <v>261</v>
      </c>
      <c r="H213" t="s">
        <v>190</v>
      </c>
    </row>
    <row r="214" spans="1:8" x14ac:dyDescent="0.25">
      <c r="A214" s="11" t="s">
        <v>266</v>
      </c>
      <c r="B214" s="15" t="s">
        <v>271</v>
      </c>
      <c r="C214" s="11" t="s">
        <v>751</v>
      </c>
      <c r="D214" s="11" t="s">
        <v>752</v>
      </c>
      <c r="E214" t="s">
        <v>753</v>
      </c>
      <c r="F214" t="s">
        <v>260</v>
      </c>
      <c r="G214" t="s">
        <v>261</v>
      </c>
      <c r="H214" t="s">
        <v>190</v>
      </c>
    </row>
    <row r="215" spans="1:8" x14ac:dyDescent="0.25">
      <c r="A215" s="11" t="s">
        <v>266</v>
      </c>
      <c r="B215" s="15" t="s">
        <v>271</v>
      </c>
      <c r="C215" s="11" t="s">
        <v>135</v>
      </c>
      <c r="D215" s="11" t="s">
        <v>754</v>
      </c>
      <c r="E215" t="s">
        <v>755</v>
      </c>
      <c r="F215" t="s">
        <v>260</v>
      </c>
      <c r="G215" t="s">
        <v>261</v>
      </c>
      <c r="H215" t="s">
        <v>190</v>
      </c>
    </row>
    <row r="216" spans="1:8" x14ac:dyDescent="0.25">
      <c r="A216" s="11" t="s">
        <v>266</v>
      </c>
      <c r="B216" s="15" t="s">
        <v>271</v>
      </c>
      <c r="C216" s="11" t="s">
        <v>136</v>
      </c>
      <c r="D216" s="11" t="s">
        <v>756</v>
      </c>
      <c r="E216" t="s">
        <v>757</v>
      </c>
      <c r="F216" t="s">
        <v>260</v>
      </c>
      <c r="G216" t="s">
        <v>261</v>
      </c>
      <c r="H216" t="s">
        <v>190</v>
      </c>
    </row>
    <row r="217" spans="1:8" x14ac:dyDescent="0.25">
      <c r="A217" s="11" t="s">
        <v>266</v>
      </c>
      <c r="B217" s="15" t="s">
        <v>271</v>
      </c>
      <c r="C217" s="11" t="s">
        <v>758</v>
      </c>
      <c r="D217" s="11" t="s">
        <v>759</v>
      </c>
      <c r="E217" t="s">
        <v>760</v>
      </c>
      <c r="F217" t="s">
        <v>260</v>
      </c>
      <c r="G217" t="s">
        <v>261</v>
      </c>
      <c r="H217" t="s">
        <v>190</v>
      </c>
    </row>
    <row r="218" spans="1:8" x14ac:dyDescent="0.25">
      <c r="A218" s="11" t="s">
        <v>266</v>
      </c>
      <c r="B218" s="15" t="s">
        <v>271</v>
      </c>
      <c r="C218" s="11" t="s">
        <v>761</v>
      </c>
      <c r="D218" s="11" t="s">
        <v>762</v>
      </c>
      <c r="E218" t="s">
        <v>763</v>
      </c>
      <c r="F218" t="s">
        <v>260</v>
      </c>
      <c r="G218" t="s">
        <v>261</v>
      </c>
      <c r="H218" t="s">
        <v>190</v>
      </c>
    </row>
    <row r="219" spans="1:8" x14ac:dyDescent="0.25">
      <c r="A219" s="11" t="s">
        <v>266</v>
      </c>
      <c r="B219" s="15" t="s">
        <v>271</v>
      </c>
      <c r="C219" s="11" t="s">
        <v>764</v>
      </c>
      <c r="D219" s="11" t="s">
        <v>765</v>
      </c>
      <c r="E219" t="s">
        <v>766</v>
      </c>
      <c r="F219" t="s">
        <v>260</v>
      </c>
      <c r="G219" t="s">
        <v>261</v>
      </c>
      <c r="H219" t="s">
        <v>190</v>
      </c>
    </row>
    <row r="220" spans="1:8" x14ac:dyDescent="0.25">
      <c r="A220" s="11" t="s">
        <v>266</v>
      </c>
      <c r="B220" s="15" t="s">
        <v>271</v>
      </c>
      <c r="C220" s="11" t="s">
        <v>767</v>
      </c>
      <c r="D220" s="11" t="s">
        <v>768</v>
      </c>
      <c r="E220" t="s">
        <v>769</v>
      </c>
      <c r="F220" t="s">
        <v>260</v>
      </c>
      <c r="G220" t="s">
        <v>261</v>
      </c>
      <c r="H220" t="s">
        <v>190</v>
      </c>
    </row>
    <row r="221" spans="1:8" x14ac:dyDescent="0.25">
      <c r="A221" s="11" t="s">
        <v>266</v>
      </c>
      <c r="B221" s="15" t="s">
        <v>271</v>
      </c>
      <c r="C221" s="11" t="s">
        <v>770</v>
      </c>
      <c r="D221" s="11" t="s">
        <v>771</v>
      </c>
      <c r="E221" t="s">
        <v>772</v>
      </c>
      <c r="F221" t="s">
        <v>260</v>
      </c>
      <c r="G221" t="s">
        <v>261</v>
      </c>
      <c r="H221" t="s">
        <v>190</v>
      </c>
    </row>
    <row r="222" spans="1:8" x14ac:dyDescent="0.25">
      <c r="A222" s="11" t="s">
        <v>266</v>
      </c>
      <c r="B222" s="15" t="s">
        <v>271</v>
      </c>
      <c r="C222" s="11" t="s">
        <v>773</v>
      </c>
      <c r="D222" s="11" t="s">
        <v>774</v>
      </c>
      <c r="E222" t="s">
        <v>775</v>
      </c>
      <c r="F222" t="s">
        <v>260</v>
      </c>
      <c r="G222" t="s">
        <v>261</v>
      </c>
      <c r="H222" t="s">
        <v>190</v>
      </c>
    </row>
    <row r="223" spans="1:8" x14ac:dyDescent="0.25">
      <c r="A223" s="11" t="s">
        <v>266</v>
      </c>
      <c r="B223" s="15" t="s">
        <v>271</v>
      </c>
      <c r="C223" s="11" t="s">
        <v>776</v>
      </c>
      <c r="D223" s="11" t="s">
        <v>777</v>
      </c>
      <c r="E223" t="s">
        <v>778</v>
      </c>
      <c r="F223" t="s">
        <v>260</v>
      </c>
      <c r="G223" t="s">
        <v>261</v>
      </c>
      <c r="H223" t="s">
        <v>190</v>
      </c>
    </row>
    <row r="224" spans="1:8" x14ac:dyDescent="0.25">
      <c r="A224" s="11" t="s">
        <v>266</v>
      </c>
      <c r="B224" s="15" t="s">
        <v>271</v>
      </c>
      <c r="C224" s="11" t="s">
        <v>779</v>
      </c>
      <c r="D224" s="11" t="s">
        <v>780</v>
      </c>
      <c r="E224" t="s">
        <v>781</v>
      </c>
      <c r="F224" t="s">
        <v>260</v>
      </c>
      <c r="G224" t="s">
        <v>261</v>
      </c>
      <c r="H224" t="s">
        <v>190</v>
      </c>
    </row>
    <row r="225" spans="1:8" x14ac:dyDescent="0.25">
      <c r="A225" s="11" t="s">
        <v>266</v>
      </c>
      <c r="B225" s="15" t="s">
        <v>271</v>
      </c>
      <c r="C225" s="11" t="s">
        <v>782</v>
      </c>
      <c r="D225" s="11" t="s">
        <v>783</v>
      </c>
      <c r="E225" t="s">
        <v>784</v>
      </c>
      <c r="F225" t="s">
        <v>260</v>
      </c>
      <c r="G225" t="s">
        <v>261</v>
      </c>
      <c r="H225" t="s">
        <v>190</v>
      </c>
    </row>
    <row r="226" spans="1:8" x14ac:dyDescent="0.25">
      <c r="A226" s="11" t="s">
        <v>266</v>
      </c>
      <c r="B226" s="15" t="s">
        <v>271</v>
      </c>
      <c r="C226" s="11" t="s">
        <v>785</v>
      </c>
      <c r="D226" s="11" t="s">
        <v>786</v>
      </c>
      <c r="E226" t="s">
        <v>787</v>
      </c>
      <c r="F226" t="s">
        <v>260</v>
      </c>
      <c r="G226" t="s">
        <v>261</v>
      </c>
      <c r="H226" t="s">
        <v>190</v>
      </c>
    </row>
    <row r="227" spans="1:8" x14ac:dyDescent="0.25">
      <c r="A227" s="11" t="s">
        <v>266</v>
      </c>
      <c r="B227" s="15" t="s">
        <v>271</v>
      </c>
      <c r="C227" s="11" t="s">
        <v>788</v>
      </c>
      <c r="D227" s="11" t="s">
        <v>789</v>
      </c>
      <c r="E227" t="s">
        <v>790</v>
      </c>
      <c r="F227" t="s">
        <v>260</v>
      </c>
      <c r="G227" t="s">
        <v>261</v>
      </c>
      <c r="H227" t="s">
        <v>190</v>
      </c>
    </row>
    <row r="228" spans="1:8" x14ac:dyDescent="0.25">
      <c r="A228" s="11" t="s">
        <v>266</v>
      </c>
      <c r="B228" s="15" t="s">
        <v>271</v>
      </c>
      <c r="C228" s="11" t="s">
        <v>791</v>
      </c>
      <c r="D228" s="11" t="s">
        <v>792</v>
      </c>
      <c r="E228" t="s">
        <v>793</v>
      </c>
      <c r="F228" t="s">
        <v>260</v>
      </c>
      <c r="G228" t="s">
        <v>261</v>
      </c>
      <c r="H228" t="s">
        <v>190</v>
      </c>
    </row>
    <row r="229" spans="1:8" x14ac:dyDescent="0.25">
      <c r="A229" s="11" t="s">
        <v>266</v>
      </c>
      <c r="B229" s="15" t="s">
        <v>271</v>
      </c>
      <c r="C229" s="11" t="s">
        <v>794</v>
      </c>
      <c r="D229" s="11" t="s">
        <v>795</v>
      </c>
      <c r="E229" t="s">
        <v>796</v>
      </c>
      <c r="F229" t="s">
        <v>260</v>
      </c>
      <c r="G229" t="s">
        <v>261</v>
      </c>
      <c r="H229" t="s">
        <v>190</v>
      </c>
    </row>
    <row r="230" spans="1:8" x14ac:dyDescent="0.25">
      <c r="A230" s="11" t="s">
        <v>266</v>
      </c>
      <c r="B230" s="15" t="s">
        <v>271</v>
      </c>
      <c r="C230" s="11" t="s">
        <v>797</v>
      </c>
      <c r="D230" s="11" t="s">
        <v>798</v>
      </c>
      <c r="E230" t="s">
        <v>799</v>
      </c>
      <c r="F230" t="s">
        <v>260</v>
      </c>
      <c r="G230" t="s">
        <v>261</v>
      </c>
      <c r="H230" t="s">
        <v>190</v>
      </c>
    </row>
    <row r="231" spans="1:8" x14ac:dyDescent="0.25">
      <c r="A231" s="11" t="s">
        <v>266</v>
      </c>
      <c r="B231" s="15" t="s">
        <v>271</v>
      </c>
      <c r="C231" s="11" t="s">
        <v>800</v>
      </c>
      <c r="D231" s="11" t="s">
        <v>801</v>
      </c>
      <c r="E231" t="s">
        <v>802</v>
      </c>
      <c r="F231" t="s">
        <v>260</v>
      </c>
      <c r="G231" t="s">
        <v>261</v>
      </c>
      <c r="H231" t="s">
        <v>190</v>
      </c>
    </row>
    <row r="232" spans="1:8" x14ac:dyDescent="0.25">
      <c r="A232" s="11" t="s">
        <v>266</v>
      </c>
      <c r="B232" s="15" t="s">
        <v>271</v>
      </c>
      <c r="C232" s="11" t="s">
        <v>803</v>
      </c>
      <c r="D232" s="11" t="s">
        <v>804</v>
      </c>
      <c r="E232" t="s">
        <v>805</v>
      </c>
      <c r="F232" t="s">
        <v>260</v>
      </c>
      <c r="G232" t="s">
        <v>261</v>
      </c>
      <c r="H232" t="s">
        <v>190</v>
      </c>
    </row>
    <row r="233" spans="1:8" x14ac:dyDescent="0.25">
      <c r="A233" s="11" t="s">
        <v>266</v>
      </c>
      <c r="B233" s="15" t="s">
        <v>271</v>
      </c>
      <c r="C233" s="11" t="s">
        <v>806</v>
      </c>
      <c r="D233" s="11" t="s">
        <v>807</v>
      </c>
      <c r="E233" t="s">
        <v>808</v>
      </c>
      <c r="F233" t="s">
        <v>260</v>
      </c>
      <c r="G233" t="s">
        <v>261</v>
      </c>
      <c r="H233" t="s">
        <v>190</v>
      </c>
    </row>
    <row r="234" spans="1:8" x14ac:dyDescent="0.25">
      <c r="A234" s="11" t="s">
        <v>266</v>
      </c>
      <c r="B234" s="15" t="s">
        <v>271</v>
      </c>
      <c r="C234" s="11" t="s">
        <v>809</v>
      </c>
      <c r="D234" s="11" t="s">
        <v>810</v>
      </c>
      <c r="E234" t="s">
        <v>811</v>
      </c>
      <c r="F234" t="s">
        <v>260</v>
      </c>
      <c r="G234" t="s">
        <v>261</v>
      </c>
      <c r="H234" t="s">
        <v>190</v>
      </c>
    </row>
    <row r="235" spans="1:8" x14ac:dyDescent="0.25">
      <c r="A235" s="11" t="s">
        <v>266</v>
      </c>
      <c r="B235" s="15" t="s">
        <v>271</v>
      </c>
      <c r="C235" s="11" t="s">
        <v>812</v>
      </c>
      <c r="D235" s="11" t="s">
        <v>813</v>
      </c>
      <c r="E235" t="s">
        <v>814</v>
      </c>
      <c r="F235" t="s">
        <v>260</v>
      </c>
      <c r="G235" t="s">
        <v>261</v>
      </c>
      <c r="H235" t="s">
        <v>190</v>
      </c>
    </row>
    <row r="236" spans="1:8" x14ac:dyDescent="0.25">
      <c r="A236" s="11" t="s">
        <v>266</v>
      </c>
      <c r="B236" s="15" t="s">
        <v>271</v>
      </c>
      <c r="C236" s="11" t="s">
        <v>815</v>
      </c>
      <c r="D236" s="11" t="s">
        <v>816</v>
      </c>
      <c r="E236" t="s">
        <v>817</v>
      </c>
      <c r="F236" t="s">
        <v>260</v>
      </c>
      <c r="G236" t="s">
        <v>261</v>
      </c>
      <c r="H236" t="s">
        <v>190</v>
      </c>
    </row>
    <row r="237" spans="1:8" x14ac:dyDescent="0.25">
      <c r="A237" s="11" t="s">
        <v>266</v>
      </c>
      <c r="B237" s="15" t="s">
        <v>271</v>
      </c>
      <c r="C237" s="11" t="s">
        <v>818</v>
      </c>
      <c r="D237" s="11" t="s">
        <v>819</v>
      </c>
      <c r="E237" t="s">
        <v>820</v>
      </c>
      <c r="F237" t="s">
        <v>260</v>
      </c>
      <c r="G237" t="s">
        <v>261</v>
      </c>
      <c r="H237" t="s">
        <v>190</v>
      </c>
    </row>
    <row r="238" spans="1:8" x14ac:dyDescent="0.25">
      <c r="A238" s="11" t="s">
        <v>266</v>
      </c>
      <c r="B238" s="15" t="s">
        <v>271</v>
      </c>
      <c r="C238" s="11" t="s">
        <v>821</v>
      </c>
      <c r="D238" s="11" t="s">
        <v>822</v>
      </c>
      <c r="E238" t="s">
        <v>823</v>
      </c>
      <c r="F238" t="s">
        <v>260</v>
      </c>
      <c r="G238" t="s">
        <v>261</v>
      </c>
      <c r="H238" t="s">
        <v>190</v>
      </c>
    </row>
    <row r="239" spans="1:8" x14ac:dyDescent="0.25">
      <c r="A239" s="11" t="s">
        <v>266</v>
      </c>
      <c r="B239" s="15" t="s">
        <v>271</v>
      </c>
      <c r="C239" s="11" t="s">
        <v>824</v>
      </c>
      <c r="D239" s="11" t="s">
        <v>752</v>
      </c>
      <c r="E239" t="s">
        <v>825</v>
      </c>
      <c r="F239" t="s">
        <v>260</v>
      </c>
      <c r="G239" t="s">
        <v>261</v>
      </c>
      <c r="H239" t="s">
        <v>190</v>
      </c>
    </row>
    <row r="240" spans="1:8" x14ac:dyDescent="0.25">
      <c r="A240" s="11" t="s">
        <v>266</v>
      </c>
      <c r="B240" s="15" t="s">
        <v>271</v>
      </c>
      <c r="C240" s="11" t="s">
        <v>826</v>
      </c>
      <c r="D240" s="11" t="s">
        <v>827</v>
      </c>
      <c r="E240" t="s">
        <v>828</v>
      </c>
      <c r="F240" t="s">
        <v>260</v>
      </c>
      <c r="G240" t="s">
        <v>261</v>
      </c>
      <c r="H240" t="s">
        <v>190</v>
      </c>
    </row>
    <row r="241" spans="1:8" x14ac:dyDescent="0.25">
      <c r="A241" s="11" t="s">
        <v>266</v>
      </c>
      <c r="B241" s="15" t="s">
        <v>271</v>
      </c>
      <c r="C241" s="11" t="s">
        <v>829</v>
      </c>
      <c r="D241" s="11" t="s">
        <v>830</v>
      </c>
      <c r="E241" t="s">
        <v>831</v>
      </c>
      <c r="F241" t="s">
        <v>260</v>
      </c>
      <c r="G241" t="s">
        <v>261</v>
      </c>
      <c r="H241" t="s">
        <v>190</v>
      </c>
    </row>
    <row r="242" spans="1:8" x14ac:dyDescent="0.25">
      <c r="A242" s="11" t="s">
        <v>266</v>
      </c>
      <c r="B242" s="15" t="s">
        <v>271</v>
      </c>
      <c r="C242" s="11" t="s">
        <v>832</v>
      </c>
      <c r="D242" s="11" t="s">
        <v>833</v>
      </c>
      <c r="E242" t="s">
        <v>834</v>
      </c>
      <c r="F242" t="s">
        <v>260</v>
      </c>
      <c r="G242" t="s">
        <v>261</v>
      </c>
      <c r="H242" t="s">
        <v>190</v>
      </c>
    </row>
    <row r="243" spans="1:8" x14ac:dyDescent="0.25">
      <c r="A243" s="11" t="s">
        <v>266</v>
      </c>
      <c r="B243" s="15" t="s">
        <v>271</v>
      </c>
      <c r="C243" s="11" t="s">
        <v>835</v>
      </c>
      <c r="D243" s="11" t="s">
        <v>836</v>
      </c>
      <c r="E243" t="s">
        <v>837</v>
      </c>
      <c r="F243" t="s">
        <v>260</v>
      </c>
      <c r="G243" t="s">
        <v>261</v>
      </c>
      <c r="H243" t="s">
        <v>190</v>
      </c>
    </row>
    <row r="244" spans="1:8" x14ac:dyDescent="0.25">
      <c r="A244" s="11" t="s">
        <v>266</v>
      </c>
      <c r="B244" s="15" t="s">
        <v>271</v>
      </c>
      <c r="C244" s="11" t="s">
        <v>838</v>
      </c>
      <c r="D244" s="11" t="s">
        <v>839</v>
      </c>
      <c r="E244" t="s">
        <v>840</v>
      </c>
      <c r="F244" t="s">
        <v>260</v>
      </c>
      <c r="G244" t="s">
        <v>261</v>
      </c>
      <c r="H244" t="s">
        <v>190</v>
      </c>
    </row>
    <row r="245" spans="1:8" x14ac:dyDescent="0.25">
      <c r="A245" s="11" t="s">
        <v>275</v>
      </c>
      <c r="B245" s="16" t="s">
        <v>841</v>
      </c>
      <c r="C245" s="16" t="s">
        <v>137</v>
      </c>
      <c r="D245" s="16" t="s">
        <v>842</v>
      </c>
      <c r="E245" s="16" t="s">
        <v>279</v>
      </c>
      <c r="F245" s="16" t="s">
        <v>280</v>
      </c>
      <c r="G245" s="16" t="s">
        <v>843</v>
      </c>
      <c r="H245" s="16" t="s">
        <v>190</v>
      </c>
    </row>
    <row r="246" spans="1:8" x14ac:dyDescent="0.25">
      <c r="A246" s="11" t="s">
        <v>275</v>
      </c>
      <c r="B246" s="16" t="s">
        <v>841</v>
      </c>
      <c r="C246" s="16" t="s">
        <v>138</v>
      </c>
      <c r="D246" s="16" t="s">
        <v>844</v>
      </c>
      <c r="E246" s="16" t="s">
        <v>283</v>
      </c>
      <c r="F246" s="16" t="s">
        <v>280</v>
      </c>
      <c r="G246" s="16" t="s">
        <v>843</v>
      </c>
      <c r="H246" s="16" t="s">
        <v>190</v>
      </c>
    </row>
    <row r="247" spans="1:8" x14ac:dyDescent="0.25">
      <c r="A247" s="11" t="s">
        <v>275</v>
      </c>
      <c r="B247" s="16" t="s">
        <v>841</v>
      </c>
      <c r="C247" s="16" t="s">
        <v>139</v>
      </c>
      <c r="D247" s="16" t="s">
        <v>845</v>
      </c>
      <c r="E247" s="16" t="s">
        <v>846</v>
      </c>
      <c r="F247" s="16" t="s">
        <v>280</v>
      </c>
      <c r="G247" s="16" t="s">
        <v>843</v>
      </c>
      <c r="H247" s="16" t="s">
        <v>190</v>
      </c>
    </row>
    <row r="248" spans="1:8" x14ac:dyDescent="0.25">
      <c r="A248" s="11" t="s">
        <v>275</v>
      </c>
      <c r="B248" s="16" t="s">
        <v>841</v>
      </c>
      <c r="C248" s="16" t="s">
        <v>140</v>
      </c>
      <c r="D248" s="16" t="s">
        <v>847</v>
      </c>
      <c r="E248" s="16" t="s">
        <v>848</v>
      </c>
      <c r="F248" s="16" t="s">
        <v>280</v>
      </c>
      <c r="G248" s="16" t="s">
        <v>843</v>
      </c>
      <c r="H248" s="16" t="s">
        <v>190</v>
      </c>
    </row>
    <row r="249" spans="1:8" x14ac:dyDescent="0.25">
      <c r="A249" s="11" t="s">
        <v>275</v>
      </c>
      <c r="B249" s="16" t="s">
        <v>841</v>
      </c>
      <c r="C249" s="16" t="s">
        <v>141</v>
      </c>
      <c r="D249" s="16" t="s">
        <v>849</v>
      </c>
      <c r="E249" s="16" t="s">
        <v>850</v>
      </c>
      <c r="F249" s="16" t="s">
        <v>280</v>
      </c>
      <c r="G249" s="16" t="s">
        <v>843</v>
      </c>
      <c r="H249" s="16" t="s">
        <v>190</v>
      </c>
    </row>
    <row r="250" spans="1:8" x14ac:dyDescent="0.25">
      <c r="A250" s="11" t="s">
        <v>275</v>
      </c>
      <c r="B250" s="16" t="s">
        <v>841</v>
      </c>
      <c r="C250" s="16" t="s">
        <v>851</v>
      </c>
      <c r="D250" s="16" t="s">
        <v>852</v>
      </c>
      <c r="E250" s="16" t="s">
        <v>853</v>
      </c>
      <c r="F250" s="16" t="s">
        <v>280</v>
      </c>
      <c r="G250" s="16" t="s">
        <v>843</v>
      </c>
      <c r="H250" s="16" t="s">
        <v>190</v>
      </c>
    </row>
    <row r="251" spans="1:8" x14ac:dyDescent="0.25">
      <c r="A251" s="11" t="s">
        <v>275</v>
      </c>
      <c r="B251" s="16" t="s">
        <v>841</v>
      </c>
      <c r="C251" s="16" t="s">
        <v>142</v>
      </c>
      <c r="D251" s="16" t="s">
        <v>854</v>
      </c>
      <c r="E251" s="16" t="s">
        <v>855</v>
      </c>
      <c r="F251" s="16" t="s">
        <v>280</v>
      </c>
      <c r="G251" s="16" t="s">
        <v>843</v>
      </c>
      <c r="H251" s="16" t="s">
        <v>190</v>
      </c>
    </row>
    <row r="252" spans="1:8" x14ac:dyDescent="0.25">
      <c r="A252" s="11" t="s">
        <v>275</v>
      </c>
      <c r="B252" s="16" t="s">
        <v>841</v>
      </c>
      <c r="C252" s="16" t="s">
        <v>143</v>
      </c>
      <c r="D252" s="16" t="s">
        <v>856</v>
      </c>
      <c r="E252" s="16" t="s">
        <v>857</v>
      </c>
      <c r="F252" s="16" t="s">
        <v>280</v>
      </c>
      <c r="G252" s="16" t="s">
        <v>843</v>
      </c>
      <c r="H252" s="16" t="s">
        <v>190</v>
      </c>
    </row>
    <row r="253" spans="1:8" x14ac:dyDescent="0.25">
      <c r="A253" s="11" t="s">
        <v>275</v>
      </c>
      <c r="B253" s="16" t="s">
        <v>841</v>
      </c>
      <c r="C253" s="16" t="s">
        <v>144</v>
      </c>
      <c r="D253" s="16" t="s">
        <v>858</v>
      </c>
      <c r="E253" s="16" t="s">
        <v>859</v>
      </c>
      <c r="F253" s="16" t="s">
        <v>280</v>
      </c>
      <c r="G253" s="16" t="s">
        <v>843</v>
      </c>
      <c r="H253" s="16" t="s">
        <v>190</v>
      </c>
    </row>
    <row r="254" spans="1:8" x14ac:dyDescent="0.25">
      <c r="A254" s="11" t="s">
        <v>275</v>
      </c>
      <c r="B254" s="16" t="s">
        <v>841</v>
      </c>
      <c r="C254" s="16" t="s">
        <v>145</v>
      </c>
      <c r="D254" s="16" t="s">
        <v>860</v>
      </c>
      <c r="E254" s="16" t="s">
        <v>286</v>
      </c>
      <c r="F254" s="16" t="s">
        <v>280</v>
      </c>
      <c r="G254" s="16" t="s">
        <v>843</v>
      </c>
      <c r="H254" s="16" t="s">
        <v>190</v>
      </c>
    </row>
    <row r="255" spans="1:8" x14ac:dyDescent="0.25">
      <c r="A255" s="11" t="s">
        <v>275</v>
      </c>
      <c r="B255" s="16" t="s">
        <v>841</v>
      </c>
      <c r="C255" s="16" t="s">
        <v>861</v>
      </c>
      <c r="D255" s="16" t="s">
        <v>862</v>
      </c>
      <c r="E255" s="16" t="s">
        <v>863</v>
      </c>
      <c r="F255" s="16" t="s">
        <v>280</v>
      </c>
      <c r="G255" s="16" t="s">
        <v>843</v>
      </c>
      <c r="H255" s="16" t="s">
        <v>190</v>
      </c>
    </row>
    <row r="256" spans="1:8" x14ac:dyDescent="0.25">
      <c r="A256" s="11" t="s">
        <v>275</v>
      </c>
      <c r="B256" s="16" t="s">
        <v>841</v>
      </c>
      <c r="C256" s="16" t="s">
        <v>864</v>
      </c>
      <c r="D256" s="16" t="s">
        <v>865</v>
      </c>
      <c r="E256" s="16" t="s">
        <v>866</v>
      </c>
      <c r="F256" s="16" t="s">
        <v>280</v>
      </c>
      <c r="G256" s="16" t="s">
        <v>843</v>
      </c>
      <c r="H256" s="16" t="s">
        <v>190</v>
      </c>
    </row>
    <row r="257" spans="1:8" x14ac:dyDescent="0.25">
      <c r="A257" s="11" t="s">
        <v>275</v>
      </c>
      <c r="B257" s="16" t="s">
        <v>841</v>
      </c>
      <c r="C257" s="16" t="s">
        <v>867</v>
      </c>
      <c r="D257" s="16" t="s">
        <v>868</v>
      </c>
      <c r="E257" s="16" t="s">
        <v>869</v>
      </c>
      <c r="F257" s="16" t="s">
        <v>280</v>
      </c>
      <c r="G257" s="16" t="s">
        <v>843</v>
      </c>
      <c r="H257" s="16" t="s">
        <v>190</v>
      </c>
    </row>
    <row r="258" spans="1:8" x14ac:dyDescent="0.25">
      <c r="A258" s="11" t="s">
        <v>275</v>
      </c>
      <c r="B258" s="16" t="s">
        <v>841</v>
      </c>
      <c r="C258" s="16" t="s">
        <v>146</v>
      </c>
      <c r="D258" s="16" t="s">
        <v>870</v>
      </c>
      <c r="E258" s="16" t="s">
        <v>871</v>
      </c>
      <c r="F258" s="16" t="s">
        <v>280</v>
      </c>
      <c r="G258" s="16" t="s">
        <v>843</v>
      </c>
      <c r="H258" s="16" t="s">
        <v>190</v>
      </c>
    </row>
    <row r="259" spans="1:8" x14ac:dyDescent="0.25">
      <c r="A259" s="11" t="s">
        <v>275</v>
      </c>
      <c r="B259" s="16" t="s">
        <v>841</v>
      </c>
      <c r="C259" s="16" t="s">
        <v>147</v>
      </c>
      <c r="D259" s="16" t="s">
        <v>872</v>
      </c>
      <c r="E259" s="16" t="s">
        <v>873</v>
      </c>
      <c r="F259" s="16" t="s">
        <v>280</v>
      </c>
      <c r="G259" s="16" t="s">
        <v>843</v>
      </c>
      <c r="H259" s="16" t="s">
        <v>190</v>
      </c>
    </row>
    <row r="260" spans="1:8" x14ac:dyDescent="0.25">
      <c r="A260" s="11" t="s">
        <v>275</v>
      </c>
      <c r="B260" s="16" t="s">
        <v>841</v>
      </c>
      <c r="C260" s="16" t="s">
        <v>874</v>
      </c>
      <c r="D260" s="16" t="s">
        <v>875</v>
      </c>
      <c r="E260" s="16" t="s">
        <v>876</v>
      </c>
      <c r="F260" s="16" t="s">
        <v>280</v>
      </c>
      <c r="G260" s="16" t="s">
        <v>843</v>
      </c>
      <c r="H260" s="16" t="s">
        <v>190</v>
      </c>
    </row>
    <row r="261" spans="1:8" x14ac:dyDescent="0.25">
      <c r="A261" s="11" t="s">
        <v>275</v>
      </c>
      <c r="B261" s="16" t="s">
        <v>841</v>
      </c>
      <c r="C261" s="16" t="s">
        <v>877</v>
      </c>
      <c r="D261" s="16" t="s">
        <v>878</v>
      </c>
      <c r="E261" s="16" t="s">
        <v>879</v>
      </c>
      <c r="F261" s="16" t="s">
        <v>280</v>
      </c>
      <c r="G261" s="16" t="s">
        <v>843</v>
      </c>
      <c r="H261" s="16" t="s">
        <v>190</v>
      </c>
    </row>
    <row r="262" spans="1:8" x14ac:dyDescent="0.25">
      <c r="A262" s="11" t="s">
        <v>275</v>
      </c>
      <c r="B262" s="16" t="s">
        <v>841</v>
      </c>
      <c r="C262" s="16" t="s">
        <v>880</v>
      </c>
      <c r="D262" s="16" t="s">
        <v>881</v>
      </c>
      <c r="E262" s="16" t="s">
        <v>882</v>
      </c>
      <c r="F262" s="16" t="s">
        <v>280</v>
      </c>
      <c r="G262" s="16" t="s">
        <v>843</v>
      </c>
      <c r="H262" s="16" t="s">
        <v>190</v>
      </c>
    </row>
    <row r="263" spans="1:8" x14ac:dyDescent="0.25">
      <c r="A263" s="11" t="s">
        <v>275</v>
      </c>
      <c r="B263" s="16" t="s">
        <v>841</v>
      </c>
      <c r="C263" s="16" t="s">
        <v>883</v>
      </c>
      <c r="D263" s="16" t="s">
        <v>884</v>
      </c>
      <c r="E263" s="16" t="s">
        <v>885</v>
      </c>
      <c r="F263" s="16" t="s">
        <v>280</v>
      </c>
      <c r="G263" s="16" t="s">
        <v>843</v>
      </c>
      <c r="H263" s="16" t="s">
        <v>190</v>
      </c>
    </row>
    <row r="264" spans="1:8" x14ac:dyDescent="0.25">
      <c r="A264" s="11" t="s">
        <v>275</v>
      </c>
      <c r="B264" s="16" t="s">
        <v>841</v>
      </c>
      <c r="C264" s="16" t="s">
        <v>148</v>
      </c>
      <c r="D264" s="16" t="s">
        <v>886</v>
      </c>
      <c r="E264" s="16" t="s">
        <v>887</v>
      </c>
      <c r="F264" s="16" t="s">
        <v>280</v>
      </c>
      <c r="G264" s="16" t="s">
        <v>843</v>
      </c>
      <c r="H264" s="16" t="s">
        <v>190</v>
      </c>
    </row>
    <row r="265" spans="1:8" x14ac:dyDescent="0.25">
      <c r="A265" s="11" t="s">
        <v>275</v>
      </c>
      <c r="B265" s="16" t="s">
        <v>841</v>
      </c>
      <c r="C265" s="16" t="s">
        <v>149</v>
      </c>
      <c r="D265" s="16" t="s">
        <v>888</v>
      </c>
      <c r="E265" s="16" t="s">
        <v>889</v>
      </c>
      <c r="F265" s="16" t="s">
        <v>280</v>
      </c>
      <c r="G265" s="16" t="s">
        <v>843</v>
      </c>
      <c r="H265" s="16" t="s">
        <v>190</v>
      </c>
    </row>
    <row r="266" spans="1:8" x14ac:dyDescent="0.25">
      <c r="A266" s="11" t="s">
        <v>275</v>
      </c>
      <c r="B266" s="16" t="s">
        <v>841</v>
      </c>
      <c r="C266" s="16" t="s">
        <v>150</v>
      </c>
      <c r="D266" s="16" t="s">
        <v>890</v>
      </c>
      <c r="E266" s="16" t="s">
        <v>891</v>
      </c>
      <c r="F266" s="16" t="s">
        <v>280</v>
      </c>
      <c r="G266" s="16" t="s">
        <v>843</v>
      </c>
      <c r="H266" s="16" t="s">
        <v>190</v>
      </c>
    </row>
    <row r="267" spans="1:8" x14ac:dyDescent="0.25">
      <c r="A267" s="11" t="s">
        <v>275</v>
      </c>
      <c r="B267" s="16" t="s">
        <v>841</v>
      </c>
      <c r="C267" s="16" t="s">
        <v>151</v>
      </c>
      <c r="D267" s="16" t="s">
        <v>892</v>
      </c>
      <c r="E267" s="16" t="s">
        <v>893</v>
      </c>
      <c r="F267" s="16" t="s">
        <v>280</v>
      </c>
      <c r="G267" s="16" t="s">
        <v>843</v>
      </c>
      <c r="H267" s="16" t="s">
        <v>190</v>
      </c>
    </row>
    <row r="268" spans="1:8" x14ac:dyDescent="0.25">
      <c r="A268" s="11" t="s">
        <v>275</v>
      </c>
      <c r="B268" s="16" t="s">
        <v>841</v>
      </c>
      <c r="C268" s="16" t="s">
        <v>894</v>
      </c>
      <c r="D268" s="16" t="s">
        <v>895</v>
      </c>
      <c r="E268" s="16" t="s">
        <v>896</v>
      </c>
      <c r="F268" s="16" t="s">
        <v>280</v>
      </c>
      <c r="G268" s="16" t="s">
        <v>843</v>
      </c>
      <c r="H268" s="16" t="s">
        <v>190</v>
      </c>
    </row>
    <row r="269" spans="1:8" x14ac:dyDescent="0.25">
      <c r="A269" s="11" t="s">
        <v>275</v>
      </c>
      <c r="B269" s="16" t="s">
        <v>841</v>
      </c>
      <c r="C269" s="16" t="s">
        <v>897</v>
      </c>
      <c r="D269" s="16" t="s">
        <v>898</v>
      </c>
      <c r="E269" s="16" t="s">
        <v>899</v>
      </c>
      <c r="F269" s="16" t="s">
        <v>280</v>
      </c>
      <c r="G269" s="16" t="s">
        <v>843</v>
      </c>
      <c r="H269" s="16" t="s">
        <v>190</v>
      </c>
    </row>
    <row r="270" spans="1:8" x14ac:dyDescent="0.25">
      <c r="A270" s="11" t="s">
        <v>275</v>
      </c>
      <c r="B270" s="16" t="s">
        <v>841</v>
      </c>
      <c r="C270" s="16" t="s">
        <v>152</v>
      </c>
      <c r="D270" s="16" t="s">
        <v>900</v>
      </c>
      <c r="E270" s="16" t="s">
        <v>901</v>
      </c>
      <c r="F270" s="16" t="s">
        <v>280</v>
      </c>
      <c r="G270" s="16" t="s">
        <v>843</v>
      </c>
      <c r="H270" s="16" t="s">
        <v>190</v>
      </c>
    </row>
    <row r="271" spans="1:8" x14ac:dyDescent="0.25">
      <c r="A271" s="11" t="s">
        <v>275</v>
      </c>
      <c r="B271" s="16" t="s">
        <v>841</v>
      </c>
      <c r="C271" s="16" t="s">
        <v>902</v>
      </c>
      <c r="D271" s="16" t="s">
        <v>903</v>
      </c>
      <c r="E271" s="16" t="s">
        <v>904</v>
      </c>
      <c r="F271" s="16" t="s">
        <v>280</v>
      </c>
      <c r="G271" s="16" t="s">
        <v>843</v>
      </c>
      <c r="H271" s="16" t="s">
        <v>190</v>
      </c>
    </row>
    <row r="272" spans="1:8" x14ac:dyDescent="0.25">
      <c r="A272" s="11" t="s">
        <v>275</v>
      </c>
      <c r="B272" s="16" t="s">
        <v>841</v>
      </c>
      <c r="C272" s="16" t="s">
        <v>905</v>
      </c>
      <c r="D272" s="16" t="s">
        <v>906</v>
      </c>
      <c r="E272" s="16" t="s">
        <v>907</v>
      </c>
      <c r="F272" s="16" t="s">
        <v>280</v>
      </c>
      <c r="G272" s="16" t="s">
        <v>843</v>
      </c>
      <c r="H272" s="16" t="s">
        <v>190</v>
      </c>
    </row>
    <row r="273" spans="1:8" x14ac:dyDescent="0.25">
      <c r="A273" s="11" t="s">
        <v>275</v>
      </c>
      <c r="B273" s="16" t="s">
        <v>841</v>
      </c>
      <c r="C273" s="16" t="s">
        <v>908</v>
      </c>
      <c r="D273" s="16" t="s">
        <v>909</v>
      </c>
      <c r="E273" s="16" t="s">
        <v>910</v>
      </c>
      <c r="F273" s="16" t="s">
        <v>280</v>
      </c>
      <c r="G273" s="16" t="s">
        <v>843</v>
      </c>
      <c r="H273" s="16" t="s">
        <v>190</v>
      </c>
    </row>
    <row r="274" spans="1:8" x14ac:dyDescent="0.25">
      <c r="A274" s="11" t="s">
        <v>275</v>
      </c>
      <c r="B274" s="16" t="s">
        <v>841</v>
      </c>
      <c r="C274" s="16" t="s">
        <v>911</v>
      </c>
      <c r="D274" s="16" t="s">
        <v>912</v>
      </c>
      <c r="E274" s="16" t="s">
        <v>913</v>
      </c>
      <c r="F274" s="16" t="s">
        <v>280</v>
      </c>
      <c r="G274" s="16" t="s">
        <v>843</v>
      </c>
      <c r="H274" s="16" t="s">
        <v>190</v>
      </c>
    </row>
    <row r="275" spans="1:8" x14ac:dyDescent="0.25">
      <c r="A275" s="11" t="s">
        <v>275</v>
      </c>
      <c r="B275" s="16" t="s">
        <v>841</v>
      </c>
      <c r="C275" s="16" t="s">
        <v>914</v>
      </c>
      <c r="D275" s="16" t="s">
        <v>915</v>
      </c>
      <c r="E275" s="16" t="s">
        <v>916</v>
      </c>
      <c r="F275" s="16" t="s">
        <v>280</v>
      </c>
      <c r="G275" s="16" t="s">
        <v>843</v>
      </c>
      <c r="H275" s="16" t="s">
        <v>190</v>
      </c>
    </row>
    <row r="276" spans="1:8" x14ac:dyDescent="0.25">
      <c r="A276" s="11" t="s">
        <v>275</v>
      </c>
      <c r="B276" s="16" t="s">
        <v>841</v>
      </c>
      <c r="C276" s="16" t="s">
        <v>917</v>
      </c>
      <c r="D276" s="16" t="s">
        <v>918</v>
      </c>
      <c r="E276" s="16" t="s">
        <v>919</v>
      </c>
      <c r="F276" s="16" t="s">
        <v>280</v>
      </c>
      <c r="G276" s="16" t="s">
        <v>843</v>
      </c>
      <c r="H276" s="16" t="s">
        <v>190</v>
      </c>
    </row>
    <row r="277" spans="1:8" x14ac:dyDescent="0.25">
      <c r="A277" s="11" t="s">
        <v>275</v>
      </c>
      <c r="B277" s="16" t="s">
        <v>841</v>
      </c>
      <c r="C277" s="16" t="s">
        <v>920</v>
      </c>
      <c r="D277" s="16" t="s">
        <v>921</v>
      </c>
      <c r="E277" s="16" t="s">
        <v>922</v>
      </c>
      <c r="F277" s="16" t="s">
        <v>280</v>
      </c>
      <c r="G277" s="16" t="s">
        <v>843</v>
      </c>
      <c r="H277" s="16" t="s">
        <v>190</v>
      </c>
    </row>
    <row r="278" spans="1:8" x14ac:dyDescent="0.25">
      <c r="A278" s="11" t="s">
        <v>275</v>
      </c>
      <c r="B278" s="16" t="s">
        <v>841</v>
      </c>
      <c r="C278" s="16" t="s">
        <v>923</v>
      </c>
      <c r="D278" s="16" t="s">
        <v>924</v>
      </c>
      <c r="E278" s="16" t="s">
        <v>925</v>
      </c>
      <c r="F278" s="16" t="s">
        <v>280</v>
      </c>
      <c r="G278" s="16" t="s">
        <v>843</v>
      </c>
      <c r="H278" s="16" t="s">
        <v>190</v>
      </c>
    </row>
    <row r="279" spans="1:8" x14ac:dyDescent="0.25">
      <c r="A279" s="11" t="s">
        <v>275</v>
      </c>
      <c r="B279" s="16" t="s">
        <v>841</v>
      </c>
      <c r="C279" s="16" t="s">
        <v>926</v>
      </c>
      <c r="D279" s="16" t="s">
        <v>927</v>
      </c>
      <c r="E279" s="16" t="s">
        <v>928</v>
      </c>
      <c r="F279" s="16" t="s">
        <v>280</v>
      </c>
      <c r="G279" s="16" t="s">
        <v>843</v>
      </c>
      <c r="H279" s="16" t="s">
        <v>190</v>
      </c>
    </row>
    <row r="280" spans="1:8" x14ac:dyDescent="0.25">
      <c r="A280" s="11" t="s">
        <v>275</v>
      </c>
      <c r="B280" s="16" t="s">
        <v>841</v>
      </c>
      <c r="C280" s="16" t="s">
        <v>929</v>
      </c>
      <c r="D280" s="16" t="s">
        <v>930</v>
      </c>
      <c r="E280" s="16" t="s">
        <v>931</v>
      </c>
      <c r="F280" s="16" t="s">
        <v>280</v>
      </c>
      <c r="G280" s="16" t="s">
        <v>843</v>
      </c>
      <c r="H280" s="16" t="s">
        <v>190</v>
      </c>
    </row>
    <row r="281" spans="1:8" x14ac:dyDescent="0.25">
      <c r="A281" s="11" t="s">
        <v>275</v>
      </c>
      <c r="B281" s="16" t="s">
        <v>841</v>
      </c>
      <c r="C281" s="16" t="s">
        <v>932</v>
      </c>
      <c r="D281" s="16" t="s">
        <v>933</v>
      </c>
      <c r="E281" s="16" t="s">
        <v>934</v>
      </c>
      <c r="F281" s="16" t="s">
        <v>280</v>
      </c>
      <c r="G281" s="16" t="s">
        <v>843</v>
      </c>
      <c r="H281" s="16" t="s">
        <v>190</v>
      </c>
    </row>
    <row r="282" spans="1:8" x14ac:dyDescent="0.25">
      <c r="A282" s="11" t="s">
        <v>275</v>
      </c>
      <c r="B282" s="16" t="s">
        <v>841</v>
      </c>
      <c r="C282" s="16" t="s">
        <v>935</v>
      </c>
      <c r="D282" s="16" t="s">
        <v>936</v>
      </c>
      <c r="E282" s="16" t="s">
        <v>937</v>
      </c>
      <c r="F282" s="16" t="s">
        <v>280</v>
      </c>
      <c r="G282" s="16" t="s">
        <v>843</v>
      </c>
      <c r="H282" s="16" t="s">
        <v>190</v>
      </c>
    </row>
    <row r="283" spans="1:8" x14ac:dyDescent="0.25">
      <c r="A283" s="11" t="s">
        <v>275</v>
      </c>
      <c r="B283" s="16" t="s">
        <v>841</v>
      </c>
      <c r="C283" s="16" t="s">
        <v>938</v>
      </c>
      <c r="D283" s="16" t="s">
        <v>939</v>
      </c>
      <c r="E283" s="16" t="s">
        <v>940</v>
      </c>
      <c r="F283" s="16" t="s">
        <v>280</v>
      </c>
      <c r="G283" s="16" t="s">
        <v>843</v>
      </c>
      <c r="H283" s="16" t="s">
        <v>190</v>
      </c>
    </row>
    <row r="284" spans="1:8" x14ac:dyDescent="0.25">
      <c r="A284" s="11" t="s">
        <v>275</v>
      </c>
      <c r="B284" s="16" t="s">
        <v>841</v>
      </c>
      <c r="C284" s="16" t="s">
        <v>941</v>
      </c>
      <c r="D284" s="16" t="s">
        <v>942</v>
      </c>
      <c r="E284" s="16" t="s">
        <v>943</v>
      </c>
      <c r="F284" s="16" t="s">
        <v>280</v>
      </c>
      <c r="G284" s="16" t="s">
        <v>843</v>
      </c>
      <c r="H284" s="16" t="s">
        <v>190</v>
      </c>
    </row>
    <row r="285" spans="1:8" x14ac:dyDescent="0.25">
      <c r="A285" s="11" t="s">
        <v>275</v>
      </c>
      <c r="B285" s="16" t="s">
        <v>841</v>
      </c>
      <c r="C285" s="16" t="s">
        <v>153</v>
      </c>
      <c r="D285" s="16" t="s">
        <v>944</v>
      </c>
      <c r="E285" s="16" t="s">
        <v>945</v>
      </c>
      <c r="F285" s="16" t="s">
        <v>280</v>
      </c>
      <c r="G285" s="16" t="s">
        <v>843</v>
      </c>
      <c r="H285" s="16" t="s">
        <v>190</v>
      </c>
    </row>
    <row r="286" spans="1:8" x14ac:dyDescent="0.25">
      <c r="A286" s="11" t="s">
        <v>275</v>
      </c>
      <c r="B286" s="16" t="s">
        <v>841</v>
      </c>
      <c r="C286" s="16" t="s">
        <v>946</v>
      </c>
      <c r="D286" s="16" t="s">
        <v>947</v>
      </c>
      <c r="E286" s="16" t="s">
        <v>948</v>
      </c>
      <c r="F286" s="16" t="s">
        <v>280</v>
      </c>
      <c r="G286" s="16" t="s">
        <v>843</v>
      </c>
      <c r="H286" s="16" t="s">
        <v>190</v>
      </c>
    </row>
    <row r="287" spans="1:8" x14ac:dyDescent="0.25">
      <c r="A287" s="11" t="s">
        <v>275</v>
      </c>
      <c r="B287" s="16" t="s">
        <v>841</v>
      </c>
      <c r="C287" s="16" t="s">
        <v>949</v>
      </c>
      <c r="D287" s="16" t="s">
        <v>950</v>
      </c>
      <c r="E287" s="16" t="s">
        <v>951</v>
      </c>
      <c r="F287" s="16" t="s">
        <v>280</v>
      </c>
      <c r="G287" s="16" t="s">
        <v>843</v>
      </c>
      <c r="H287" s="16" t="s">
        <v>190</v>
      </c>
    </row>
    <row r="288" spans="1:8" x14ac:dyDescent="0.25">
      <c r="A288" s="11" t="s">
        <v>275</v>
      </c>
      <c r="B288" s="16" t="s">
        <v>841</v>
      </c>
      <c r="C288" s="16" t="s">
        <v>952</v>
      </c>
      <c r="D288" s="16" t="s">
        <v>953</v>
      </c>
      <c r="E288" s="16" t="s">
        <v>954</v>
      </c>
      <c r="F288" s="16" t="s">
        <v>280</v>
      </c>
      <c r="G288" s="16" t="s">
        <v>843</v>
      </c>
      <c r="H288" s="16" t="s">
        <v>190</v>
      </c>
    </row>
    <row r="289" spans="1:8" x14ac:dyDescent="0.25">
      <c r="A289" s="11" t="s">
        <v>275</v>
      </c>
      <c r="B289" s="16" t="s">
        <v>841</v>
      </c>
      <c r="C289" s="16" t="s">
        <v>955</v>
      </c>
      <c r="D289" s="16" t="s">
        <v>956</v>
      </c>
      <c r="E289" s="16" t="s">
        <v>957</v>
      </c>
      <c r="F289" s="16" t="s">
        <v>280</v>
      </c>
      <c r="G289" s="16" t="s">
        <v>843</v>
      </c>
      <c r="H289" s="16" t="s">
        <v>190</v>
      </c>
    </row>
    <row r="290" spans="1:8" x14ac:dyDescent="0.25">
      <c r="A290" s="11" t="s">
        <v>275</v>
      </c>
      <c r="B290" s="16" t="s">
        <v>841</v>
      </c>
      <c r="C290" s="16" t="s">
        <v>958</v>
      </c>
      <c r="D290" s="16" t="s">
        <v>959</v>
      </c>
      <c r="E290" s="16" t="s">
        <v>960</v>
      </c>
      <c r="F290" s="16" t="s">
        <v>280</v>
      </c>
      <c r="G290" s="16" t="s">
        <v>843</v>
      </c>
      <c r="H290" s="16" t="s">
        <v>190</v>
      </c>
    </row>
    <row r="291" spans="1:8" x14ac:dyDescent="0.25">
      <c r="A291" s="11" t="s">
        <v>275</v>
      </c>
      <c r="B291" s="16" t="s">
        <v>841</v>
      </c>
      <c r="C291" s="16" t="s">
        <v>961</v>
      </c>
      <c r="D291" s="16" t="s">
        <v>962</v>
      </c>
      <c r="E291" s="16" t="s">
        <v>963</v>
      </c>
      <c r="F291" s="16" t="s">
        <v>280</v>
      </c>
      <c r="G291" s="16" t="s">
        <v>843</v>
      </c>
      <c r="H291" s="16" t="s">
        <v>190</v>
      </c>
    </row>
    <row r="292" spans="1:8" x14ac:dyDescent="0.25">
      <c r="A292" s="11" t="s">
        <v>275</v>
      </c>
      <c r="B292" s="16" t="s">
        <v>841</v>
      </c>
      <c r="C292" s="16" t="s">
        <v>964</v>
      </c>
      <c r="D292" s="16" t="s">
        <v>965</v>
      </c>
      <c r="E292" s="16" t="s">
        <v>966</v>
      </c>
      <c r="F292" s="16" t="s">
        <v>280</v>
      </c>
      <c r="G292" s="16" t="s">
        <v>843</v>
      </c>
      <c r="H292" s="16" t="s">
        <v>190</v>
      </c>
    </row>
    <row r="293" spans="1:8" x14ac:dyDescent="0.25">
      <c r="A293" s="11" t="s">
        <v>275</v>
      </c>
      <c r="B293" s="16" t="s">
        <v>841</v>
      </c>
      <c r="C293" s="16" t="s">
        <v>967</v>
      </c>
      <c r="D293" s="16" t="s">
        <v>968</v>
      </c>
      <c r="E293" s="16" t="s">
        <v>969</v>
      </c>
      <c r="F293" s="16" t="s">
        <v>280</v>
      </c>
      <c r="G293" s="16" t="s">
        <v>843</v>
      </c>
      <c r="H293" s="16" t="s">
        <v>190</v>
      </c>
    </row>
    <row r="294" spans="1:8" x14ac:dyDescent="0.25">
      <c r="A294" s="11" t="s">
        <v>275</v>
      </c>
      <c r="B294" s="16" t="s">
        <v>841</v>
      </c>
      <c r="C294" s="16" t="s">
        <v>154</v>
      </c>
      <c r="D294" s="16" t="s">
        <v>970</v>
      </c>
      <c r="E294" s="16" t="s">
        <v>971</v>
      </c>
      <c r="F294" s="16" t="s">
        <v>280</v>
      </c>
      <c r="G294" s="16" t="s">
        <v>843</v>
      </c>
      <c r="H294" s="16" t="s">
        <v>190</v>
      </c>
    </row>
    <row r="295" spans="1:8" x14ac:dyDescent="0.25">
      <c r="A295" s="11" t="s">
        <v>275</v>
      </c>
      <c r="B295" s="16" t="s">
        <v>276</v>
      </c>
      <c r="C295" s="16" t="s">
        <v>137</v>
      </c>
      <c r="D295" s="16" t="s">
        <v>842</v>
      </c>
      <c r="E295" s="16" t="s">
        <v>279</v>
      </c>
      <c r="F295" s="16" t="s">
        <v>280</v>
      </c>
      <c r="G295" s="16" t="s">
        <v>972</v>
      </c>
      <c r="H295" s="16" t="s">
        <v>190</v>
      </c>
    </row>
    <row r="296" spans="1:8" x14ac:dyDescent="0.25">
      <c r="A296" s="11" t="s">
        <v>275</v>
      </c>
      <c r="B296" s="16" t="s">
        <v>276</v>
      </c>
      <c r="C296" s="16" t="s">
        <v>138</v>
      </c>
      <c r="D296" s="16" t="s">
        <v>844</v>
      </c>
      <c r="E296" s="16" t="s">
        <v>283</v>
      </c>
      <c r="F296" s="16" t="s">
        <v>280</v>
      </c>
      <c r="G296" s="16" t="s">
        <v>972</v>
      </c>
      <c r="H296" s="16" t="s">
        <v>190</v>
      </c>
    </row>
    <row r="297" spans="1:8" x14ac:dyDescent="0.25">
      <c r="A297" s="11" t="s">
        <v>275</v>
      </c>
      <c r="B297" s="16" t="s">
        <v>276</v>
      </c>
      <c r="C297" s="16" t="s">
        <v>139</v>
      </c>
      <c r="D297" s="16" t="s">
        <v>845</v>
      </c>
      <c r="E297" s="16" t="s">
        <v>846</v>
      </c>
      <c r="F297" s="16" t="s">
        <v>280</v>
      </c>
      <c r="G297" s="16" t="s">
        <v>972</v>
      </c>
      <c r="H297" s="16" t="s">
        <v>190</v>
      </c>
    </row>
    <row r="298" spans="1:8" x14ac:dyDescent="0.25">
      <c r="A298" s="11" t="s">
        <v>275</v>
      </c>
      <c r="B298" s="16" t="s">
        <v>276</v>
      </c>
      <c r="C298" s="16" t="s">
        <v>140</v>
      </c>
      <c r="D298" s="16" t="s">
        <v>847</v>
      </c>
      <c r="E298" s="16" t="s">
        <v>848</v>
      </c>
      <c r="F298" s="16" t="s">
        <v>280</v>
      </c>
      <c r="G298" s="16" t="s">
        <v>972</v>
      </c>
      <c r="H298" s="16" t="s">
        <v>190</v>
      </c>
    </row>
    <row r="299" spans="1:8" x14ac:dyDescent="0.25">
      <c r="A299" s="11" t="s">
        <v>275</v>
      </c>
      <c r="B299" s="16" t="s">
        <v>276</v>
      </c>
      <c r="C299" s="16" t="s">
        <v>141</v>
      </c>
      <c r="D299" s="16" t="s">
        <v>849</v>
      </c>
      <c r="E299" s="16" t="s">
        <v>850</v>
      </c>
      <c r="F299" s="16" t="s">
        <v>280</v>
      </c>
      <c r="G299" s="16" t="s">
        <v>972</v>
      </c>
      <c r="H299" s="16" t="s">
        <v>190</v>
      </c>
    </row>
    <row r="300" spans="1:8" x14ac:dyDescent="0.25">
      <c r="A300" s="11" t="s">
        <v>275</v>
      </c>
      <c r="B300" s="16" t="s">
        <v>276</v>
      </c>
      <c r="C300" s="16" t="s">
        <v>851</v>
      </c>
      <c r="D300" s="16" t="s">
        <v>852</v>
      </c>
      <c r="E300" s="16" t="s">
        <v>853</v>
      </c>
      <c r="F300" s="16" t="s">
        <v>280</v>
      </c>
      <c r="G300" s="16" t="s">
        <v>972</v>
      </c>
      <c r="H300" s="16" t="s">
        <v>190</v>
      </c>
    </row>
    <row r="301" spans="1:8" x14ac:dyDescent="0.25">
      <c r="A301" s="11" t="s">
        <v>275</v>
      </c>
      <c r="B301" s="16" t="s">
        <v>276</v>
      </c>
      <c r="C301" s="16" t="s">
        <v>142</v>
      </c>
      <c r="D301" s="16" t="s">
        <v>854</v>
      </c>
      <c r="E301" s="16" t="s">
        <v>855</v>
      </c>
      <c r="F301" s="16" t="s">
        <v>280</v>
      </c>
      <c r="G301" s="16" t="s">
        <v>972</v>
      </c>
      <c r="H301" s="16" t="s">
        <v>190</v>
      </c>
    </row>
    <row r="302" spans="1:8" x14ac:dyDescent="0.25">
      <c r="A302" s="11" t="s">
        <v>275</v>
      </c>
      <c r="B302" s="16" t="s">
        <v>276</v>
      </c>
      <c r="C302" s="16" t="s">
        <v>145</v>
      </c>
      <c r="D302" s="16" t="s">
        <v>860</v>
      </c>
      <c r="E302" s="16" t="s">
        <v>286</v>
      </c>
      <c r="F302" s="16" t="s">
        <v>280</v>
      </c>
      <c r="G302" s="16" t="s">
        <v>972</v>
      </c>
      <c r="H302" s="16" t="s">
        <v>190</v>
      </c>
    </row>
    <row r="303" spans="1:8" x14ac:dyDescent="0.25">
      <c r="A303" s="11" t="s">
        <v>275</v>
      </c>
      <c r="B303" s="16" t="s">
        <v>276</v>
      </c>
      <c r="C303" s="16" t="s">
        <v>144</v>
      </c>
      <c r="D303" s="16" t="s">
        <v>858</v>
      </c>
      <c r="E303" s="16" t="s">
        <v>859</v>
      </c>
      <c r="F303" s="16" t="s">
        <v>280</v>
      </c>
      <c r="G303" s="16" t="s">
        <v>972</v>
      </c>
      <c r="H303" s="16" t="s">
        <v>190</v>
      </c>
    </row>
    <row r="304" spans="1:8" x14ac:dyDescent="0.25">
      <c r="A304" s="11" t="s">
        <v>275</v>
      </c>
      <c r="B304" s="16" t="s">
        <v>276</v>
      </c>
      <c r="C304" s="16" t="s">
        <v>877</v>
      </c>
      <c r="D304" s="16" t="s">
        <v>878</v>
      </c>
      <c r="E304" s="16" t="s">
        <v>879</v>
      </c>
      <c r="F304" s="16" t="s">
        <v>280</v>
      </c>
      <c r="G304" s="16" t="s">
        <v>972</v>
      </c>
      <c r="H304" s="16" t="s">
        <v>190</v>
      </c>
    </row>
    <row r="305" spans="1:8" x14ac:dyDescent="0.25">
      <c r="A305" s="11" t="s">
        <v>275</v>
      </c>
      <c r="B305" s="16" t="s">
        <v>276</v>
      </c>
      <c r="C305" s="16" t="s">
        <v>148</v>
      </c>
      <c r="D305" s="16" t="s">
        <v>886</v>
      </c>
      <c r="E305" s="16" t="s">
        <v>887</v>
      </c>
      <c r="F305" s="16" t="s">
        <v>280</v>
      </c>
      <c r="G305" s="16" t="s">
        <v>972</v>
      </c>
      <c r="H305" s="16" t="s">
        <v>190</v>
      </c>
    </row>
    <row r="306" spans="1:8" x14ac:dyDescent="0.25">
      <c r="A306" s="11" t="s">
        <v>275</v>
      </c>
      <c r="B306" s="16" t="s">
        <v>276</v>
      </c>
      <c r="C306" s="16" t="s">
        <v>917</v>
      </c>
      <c r="D306" s="16" t="s">
        <v>918</v>
      </c>
      <c r="E306" s="16" t="s">
        <v>919</v>
      </c>
      <c r="F306" s="16" t="s">
        <v>280</v>
      </c>
      <c r="G306" s="16" t="s">
        <v>972</v>
      </c>
      <c r="H306" s="16" t="s">
        <v>190</v>
      </c>
    </row>
    <row r="307" spans="1:8" x14ac:dyDescent="0.25">
      <c r="A307" s="11" t="s">
        <v>275</v>
      </c>
      <c r="B307" s="16" t="s">
        <v>276</v>
      </c>
      <c r="C307" s="16" t="s">
        <v>914</v>
      </c>
      <c r="D307" s="16" t="s">
        <v>915</v>
      </c>
      <c r="E307" s="16" t="s">
        <v>916</v>
      </c>
      <c r="F307" s="16" t="s">
        <v>280</v>
      </c>
      <c r="G307" s="16" t="s">
        <v>972</v>
      </c>
      <c r="H307" s="16" t="s">
        <v>190</v>
      </c>
    </row>
    <row r="308" spans="1:8" x14ac:dyDescent="0.25">
      <c r="A308" s="11" t="s">
        <v>275</v>
      </c>
      <c r="B308" s="16" t="s">
        <v>276</v>
      </c>
      <c r="C308" s="16" t="s">
        <v>911</v>
      </c>
      <c r="D308" s="16" t="s">
        <v>912</v>
      </c>
      <c r="E308" s="16" t="s">
        <v>913</v>
      </c>
      <c r="F308" s="16" t="s">
        <v>280</v>
      </c>
      <c r="G308" s="16" t="s">
        <v>972</v>
      </c>
      <c r="H308" s="16" t="s">
        <v>190</v>
      </c>
    </row>
    <row r="309" spans="1:8" x14ac:dyDescent="0.25">
      <c r="A309" s="11" t="s">
        <v>275</v>
      </c>
      <c r="B309" s="16" t="s">
        <v>276</v>
      </c>
      <c r="C309" s="16" t="s">
        <v>932</v>
      </c>
      <c r="D309" s="16" t="s">
        <v>933</v>
      </c>
      <c r="E309" s="16" t="s">
        <v>934</v>
      </c>
      <c r="F309" s="16" t="s">
        <v>280</v>
      </c>
      <c r="G309" s="16" t="s">
        <v>972</v>
      </c>
      <c r="H309" s="16" t="s">
        <v>190</v>
      </c>
    </row>
    <row r="310" spans="1:8" x14ac:dyDescent="0.25">
      <c r="A310" s="11" t="s">
        <v>275</v>
      </c>
      <c r="B310" s="16" t="s">
        <v>276</v>
      </c>
      <c r="C310" s="16" t="s">
        <v>973</v>
      </c>
      <c r="D310" s="16" t="s">
        <v>974</v>
      </c>
      <c r="E310" s="16" t="s">
        <v>975</v>
      </c>
      <c r="F310" s="16" t="s">
        <v>280</v>
      </c>
      <c r="G310" s="16" t="s">
        <v>972</v>
      </c>
      <c r="H310" s="16" t="s">
        <v>190</v>
      </c>
    </row>
    <row r="311" spans="1:8" x14ac:dyDescent="0.25">
      <c r="A311" s="11" t="s">
        <v>275</v>
      </c>
      <c r="B311" s="16" t="s">
        <v>276</v>
      </c>
      <c r="C311" s="16" t="s">
        <v>153</v>
      </c>
      <c r="D311" s="16" t="s">
        <v>944</v>
      </c>
      <c r="E311" s="16" t="s">
        <v>945</v>
      </c>
      <c r="F311" s="16" t="s">
        <v>280</v>
      </c>
      <c r="G311" s="16" t="s">
        <v>972</v>
      </c>
      <c r="H311" s="16" t="s">
        <v>190</v>
      </c>
    </row>
    <row r="312" spans="1:8" x14ac:dyDescent="0.25">
      <c r="A312" s="11" t="s">
        <v>275</v>
      </c>
      <c r="B312" s="16" t="s">
        <v>276</v>
      </c>
      <c r="C312" s="16" t="s">
        <v>976</v>
      </c>
      <c r="D312" s="16" t="s">
        <v>977</v>
      </c>
      <c r="E312" s="16" t="s">
        <v>978</v>
      </c>
      <c r="F312" s="16" t="s">
        <v>280</v>
      </c>
      <c r="G312" s="16" t="s">
        <v>972</v>
      </c>
      <c r="H312" s="16" t="s">
        <v>190</v>
      </c>
    </row>
    <row r="313" spans="1:8" x14ac:dyDescent="0.25">
      <c r="A313" s="11" t="s">
        <v>275</v>
      </c>
      <c r="B313" s="16" t="s">
        <v>276</v>
      </c>
      <c r="C313" s="16" t="s">
        <v>952</v>
      </c>
      <c r="D313" s="16" t="s">
        <v>953</v>
      </c>
      <c r="E313" s="16" t="s">
        <v>954</v>
      </c>
      <c r="F313" s="16" t="s">
        <v>280</v>
      </c>
      <c r="G313" s="16" t="s">
        <v>972</v>
      </c>
      <c r="H313" s="16" t="s">
        <v>190</v>
      </c>
    </row>
    <row r="314" spans="1:8" x14ac:dyDescent="0.25">
      <c r="A314" s="11" t="s">
        <v>275</v>
      </c>
      <c r="B314" s="16" t="s">
        <v>276</v>
      </c>
      <c r="C314" s="16" t="s">
        <v>964</v>
      </c>
      <c r="D314" s="16" t="s">
        <v>965</v>
      </c>
      <c r="E314" s="16" t="s">
        <v>966</v>
      </c>
      <c r="F314" s="16" t="s">
        <v>280</v>
      </c>
      <c r="G314" s="16" t="s">
        <v>972</v>
      </c>
      <c r="H314" s="16" t="s">
        <v>190</v>
      </c>
    </row>
    <row r="315" spans="1:8" x14ac:dyDescent="0.25">
      <c r="A315" s="11" t="s">
        <v>275</v>
      </c>
      <c r="B315" s="16" t="s">
        <v>276</v>
      </c>
      <c r="C315" s="16" t="s">
        <v>979</v>
      </c>
      <c r="D315" s="16" t="s">
        <v>980</v>
      </c>
      <c r="E315" s="16" t="s">
        <v>981</v>
      </c>
      <c r="F315" s="16" t="s">
        <v>280</v>
      </c>
      <c r="G315" s="16" t="s">
        <v>972</v>
      </c>
      <c r="H315" s="16" t="s">
        <v>190</v>
      </c>
    </row>
    <row r="316" spans="1:8" x14ac:dyDescent="0.25">
      <c r="A316" s="11" t="s">
        <v>275</v>
      </c>
      <c r="B316" s="16" t="s">
        <v>276</v>
      </c>
      <c r="C316" s="16" t="s">
        <v>982</v>
      </c>
      <c r="D316" s="16" t="s">
        <v>983</v>
      </c>
      <c r="E316" s="16" t="s">
        <v>984</v>
      </c>
      <c r="F316" s="16" t="s">
        <v>280</v>
      </c>
      <c r="G316" s="16" t="s">
        <v>972</v>
      </c>
      <c r="H316" s="16" t="s">
        <v>190</v>
      </c>
    </row>
    <row r="317" spans="1:8" x14ac:dyDescent="0.25">
      <c r="A317" s="11" t="s">
        <v>275</v>
      </c>
      <c r="B317" s="16" t="s">
        <v>276</v>
      </c>
      <c r="C317" s="16" t="s">
        <v>985</v>
      </c>
      <c r="D317" s="16" t="s">
        <v>986</v>
      </c>
      <c r="E317" s="16" t="s">
        <v>987</v>
      </c>
      <c r="F317" s="16" t="s">
        <v>280</v>
      </c>
      <c r="G317" s="16" t="s">
        <v>972</v>
      </c>
      <c r="H317" s="16" t="s">
        <v>190</v>
      </c>
    </row>
    <row r="318" spans="1:8" x14ac:dyDescent="0.25">
      <c r="A318" s="11" t="s">
        <v>275</v>
      </c>
      <c r="B318" s="16" t="s">
        <v>276</v>
      </c>
      <c r="C318" s="16" t="s">
        <v>988</v>
      </c>
      <c r="D318" s="16" t="s">
        <v>989</v>
      </c>
      <c r="E318" s="16" t="s">
        <v>990</v>
      </c>
      <c r="F318" s="16" t="s">
        <v>280</v>
      </c>
      <c r="G318" s="16" t="s">
        <v>972</v>
      </c>
      <c r="H318" s="16" t="s">
        <v>190</v>
      </c>
    </row>
    <row r="319" spans="1:8" x14ac:dyDescent="0.25">
      <c r="A319" s="11" t="s">
        <v>275</v>
      </c>
      <c r="B319" s="16" t="s">
        <v>276</v>
      </c>
      <c r="C319" s="16" t="s">
        <v>991</v>
      </c>
      <c r="D319" s="16" t="s">
        <v>992</v>
      </c>
      <c r="E319" s="16" t="s">
        <v>993</v>
      </c>
      <c r="F319" s="16" t="s">
        <v>280</v>
      </c>
      <c r="G319" s="16" t="s">
        <v>972</v>
      </c>
      <c r="H319" s="16" t="s">
        <v>190</v>
      </c>
    </row>
    <row r="320" spans="1:8" x14ac:dyDescent="0.25">
      <c r="A320" s="11" t="s">
        <v>275</v>
      </c>
      <c r="B320" s="16" t="s">
        <v>276</v>
      </c>
      <c r="C320" s="16" t="s">
        <v>994</v>
      </c>
      <c r="D320" s="16" t="s">
        <v>995</v>
      </c>
      <c r="E320" s="16" t="s">
        <v>996</v>
      </c>
      <c r="F320" s="16" t="s">
        <v>280</v>
      </c>
      <c r="G320" s="16" t="s">
        <v>972</v>
      </c>
      <c r="H320" s="16" t="s">
        <v>190</v>
      </c>
    </row>
    <row r="321" spans="1:8" x14ac:dyDescent="0.25">
      <c r="A321" s="11" t="s">
        <v>275</v>
      </c>
      <c r="B321" s="16" t="s">
        <v>276</v>
      </c>
      <c r="C321" s="16" t="s">
        <v>997</v>
      </c>
      <c r="D321" s="16" t="s">
        <v>998</v>
      </c>
      <c r="E321" s="16" t="s">
        <v>999</v>
      </c>
      <c r="F321" s="16" t="s">
        <v>280</v>
      </c>
      <c r="G321" s="16" t="s">
        <v>972</v>
      </c>
      <c r="H321" s="16" t="s">
        <v>190</v>
      </c>
    </row>
    <row r="322" spans="1:8" x14ac:dyDescent="0.25">
      <c r="A322" s="11" t="s">
        <v>275</v>
      </c>
      <c r="B322" s="16" t="s">
        <v>276</v>
      </c>
      <c r="C322" s="16" t="s">
        <v>1000</v>
      </c>
      <c r="D322" s="16" t="s">
        <v>1001</v>
      </c>
      <c r="E322" s="16" t="s">
        <v>1002</v>
      </c>
      <c r="F322" s="16" t="s">
        <v>280</v>
      </c>
      <c r="G322" s="16" t="s">
        <v>972</v>
      </c>
      <c r="H322" s="16" t="s">
        <v>190</v>
      </c>
    </row>
    <row r="323" spans="1:8" x14ac:dyDescent="0.25">
      <c r="A323" s="11" t="s">
        <v>275</v>
      </c>
      <c r="B323" s="16" t="s">
        <v>276</v>
      </c>
      <c r="C323" s="16" t="s">
        <v>1003</v>
      </c>
      <c r="D323" s="16" t="s">
        <v>1004</v>
      </c>
      <c r="E323" s="16" t="s">
        <v>1005</v>
      </c>
      <c r="F323" s="16" t="s">
        <v>280</v>
      </c>
      <c r="G323" s="16" t="s">
        <v>972</v>
      </c>
      <c r="H323" s="16" t="s">
        <v>190</v>
      </c>
    </row>
    <row r="324" spans="1:8" x14ac:dyDescent="0.25">
      <c r="A324" s="11" t="s">
        <v>275</v>
      </c>
      <c r="B324" s="16" t="s">
        <v>276</v>
      </c>
      <c r="C324" s="16" t="s">
        <v>1006</v>
      </c>
      <c r="D324" s="16" t="s">
        <v>1007</v>
      </c>
      <c r="E324" s="16" t="s">
        <v>1008</v>
      </c>
      <c r="F324" s="16" t="s">
        <v>280</v>
      </c>
      <c r="G324" s="16" t="s">
        <v>972</v>
      </c>
      <c r="H324" s="16" t="s">
        <v>190</v>
      </c>
    </row>
    <row r="325" spans="1:8" x14ac:dyDescent="0.25">
      <c r="A325" s="11" t="s">
        <v>275</v>
      </c>
      <c r="B325" s="16" t="s">
        <v>276</v>
      </c>
      <c r="C325" s="16" t="s">
        <v>1009</v>
      </c>
      <c r="D325" s="16" t="s">
        <v>1010</v>
      </c>
      <c r="E325" s="16" t="s">
        <v>1011</v>
      </c>
      <c r="F325" s="16" t="s">
        <v>280</v>
      </c>
      <c r="G325" s="16" t="s">
        <v>972</v>
      </c>
      <c r="H325" s="16" t="s">
        <v>190</v>
      </c>
    </row>
    <row r="326" spans="1:8" x14ac:dyDescent="0.25">
      <c r="A326" s="11" t="s">
        <v>275</v>
      </c>
      <c r="B326" s="16" t="s">
        <v>276</v>
      </c>
      <c r="C326" s="16" t="s">
        <v>1012</v>
      </c>
      <c r="D326" s="16" t="s">
        <v>1013</v>
      </c>
      <c r="E326" s="16" t="s">
        <v>1014</v>
      </c>
      <c r="F326" s="16" t="s">
        <v>280</v>
      </c>
      <c r="G326" s="16" t="s">
        <v>972</v>
      </c>
      <c r="H326" s="16" t="s">
        <v>190</v>
      </c>
    </row>
    <row r="327" spans="1:8" x14ac:dyDescent="0.25">
      <c r="A327" s="11" t="s">
        <v>275</v>
      </c>
      <c r="B327" s="16" t="s">
        <v>276</v>
      </c>
      <c r="C327" s="16" t="s">
        <v>1015</v>
      </c>
      <c r="D327" s="16" t="s">
        <v>1016</v>
      </c>
      <c r="E327" s="16" t="s">
        <v>1017</v>
      </c>
      <c r="F327" s="16" t="s">
        <v>280</v>
      </c>
      <c r="G327" s="16" t="s">
        <v>972</v>
      </c>
      <c r="H327" s="16" t="s">
        <v>190</v>
      </c>
    </row>
    <row r="328" spans="1:8" x14ac:dyDescent="0.25">
      <c r="A328" s="11" t="s">
        <v>275</v>
      </c>
      <c r="B328" s="16" t="s">
        <v>276</v>
      </c>
      <c r="C328" s="16" t="s">
        <v>1018</v>
      </c>
      <c r="D328" s="16" t="s">
        <v>1019</v>
      </c>
      <c r="E328" s="16" t="s">
        <v>1020</v>
      </c>
      <c r="F328" s="16" t="s">
        <v>280</v>
      </c>
      <c r="G328" s="16" t="s">
        <v>972</v>
      </c>
      <c r="H328" s="16" t="s">
        <v>190</v>
      </c>
    </row>
    <row r="329" spans="1:8" x14ac:dyDescent="0.25">
      <c r="A329" s="11" t="s">
        <v>275</v>
      </c>
      <c r="B329" s="16" t="s">
        <v>276</v>
      </c>
      <c r="C329" s="16" t="s">
        <v>1021</v>
      </c>
      <c r="D329" s="16" t="s">
        <v>1022</v>
      </c>
      <c r="E329" s="16" t="s">
        <v>1023</v>
      </c>
      <c r="F329" s="16" t="s">
        <v>280</v>
      </c>
      <c r="G329" s="16" t="s">
        <v>972</v>
      </c>
      <c r="H329" s="16" t="s">
        <v>190</v>
      </c>
    </row>
    <row r="330" spans="1:8" x14ac:dyDescent="0.25">
      <c r="A330" s="11" t="s">
        <v>275</v>
      </c>
      <c r="B330" s="16" t="s">
        <v>276</v>
      </c>
      <c r="C330" s="16" t="s">
        <v>1024</v>
      </c>
      <c r="D330" s="16" t="s">
        <v>1025</v>
      </c>
      <c r="E330" s="16" t="s">
        <v>1026</v>
      </c>
      <c r="F330" s="16" t="s">
        <v>280</v>
      </c>
      <c r="G330" s="16" t="s">
        <v>972</v>
      </c>
      <c r="H330" s="16" t="s">
        <v>190</v>
      </c>
    </row>
    <row r="331" spans="1:8" x14ac:dyDescent="0.25">
      <c r="A331" s="11" t="s">
        <v>275</v>
      </c>
      <c r="B331" s="16" t="s">
        <v>276</v>
      </c>
      <c r="C331" s="16" t="s">
        <v>1027</v>
      </c>
      <c r="D331" s="16" t="s">
        <v>1028</v>
      </c>
      <c r="E331" s="16" t="s">
        <v>1029</v>
      </c>
      <c r="F331" s="16" t="s">
        <v>280</v>
      </c>
      <c r="G331" s="16" t="s">
        <v>972</v>
      </c>
      <c r="H331" s="16" t="s">
        <v>190</v>
      </c>
    </row>
    <row r="332" spans="1:8" x14ac:dyDescent="0.25">
      <c r="A332" s="11" t="s">
        <v>275</v>
      </c>
      <c r="B332" s="16" t="s">
        <v>276</v>
      </c>
      <c r="C332" s="16" t="s">
        <v>1030</v>
      </c>
      <c r="D332" s="16" t="s">
        <v>1031</v>
      </c>
      <c r="E332" s="16" t="s">
        <v>1032</v>
      </c>
      <c r="F332" s="16" t="s">
        <v>280</v>
      </c>
      <c r="G332" s="16" t="s">
        <v>972</v>
      </c>
      <c r="H332" s="16" t="s">
        <v>190</v>
      </c>
    </row>
    <row r="333" spans="1:8" x14ac:dyDescent="0.25">
      <c r="A333" s="11" t="s">
        <v>275</v>
      </c>
      <c r="B333" s="16" t="s">
        <v>276</v>
      </c>
      <c r="C333" s="16" t="s">
        <v>1033</v>
      </c>
      <c r="D333" s="16" t="s">
        <v>1034</v>
      </c>
      <c r="E333" s="16" t="s">
        <v>1035</v>
      </c>
      <c r="F333" s="16" t="s">
        <v>280</v>
      </c>
      <c r="G333" s="16" t="s">
        <v>972</v>
      </c>
      <c r="H333" s="16" t="s">
        <v>190</v>
      </c>
    </row>
    <row r="334" spans="1:8" x14ac:dyDescent="0.25">
      <c r="A334" s="11" t="s">
        <v>275</v>
      </c>
      <c r="B334" s="16" t="s">
        <v>276</v>
      </c>
      <c r="C334" s="16" t="s">
        <v>1036</v>
      </c>
      <c r="D334" s="16" t="s">
        <v>1037</v>
      </c>
      <c r="E334" s="16" t="s">
        <v>1038</v>
      </c>
      <c r="F334" s="16" t="s">
        <v>280</v>
      </c>
      <c r="G334" s="16" t="s">
        <v>972</v>
      </c>
      <c r="H334" s="16" t="s">
        <v>190</v>
      </c>
    </row>
    <row r="335" spans="1:8" x14ac:dyDescent="0.25">
      <c r="A335" s="11" t="s">
        <v>275</v>
      </c>
      <c r="B335" s="16" t="s">
        <v>276</v>
      </c>
      <c r="C335" s="16" t="s">
        <v>1039</v>
      </c>
      <c r="D335" s="16" t="s">
        <v>1040</v>
      </c>
      <c r="E335" s="16" t="s">
        <v>1041</v>
      </c>
      <c r="F335" s="16" t="s">
        <v>280</v>
      </c>
      <c r="G335" s="16" t="s">
        <v>972</v>
      </c>
      <c r="H335" s="16" t="s">
        <v>190</v>
      </c>
    </row>
    <row r="336" spans="1:8" x14ac:dyDescent="0.25">
      <c r="A336" s="11" t="s">
        <v>275</v>
      </c>
      <c r="B336" s="16" t="s">
        <v>276</v>
      </c>
      <c r="C336" s="16" t="s">
        <v>1042</v>
      </c>
      <c r="D336" s="16" t="s">
        <v>1043</v>
      </c>
      <c r="E336" s="16" t="s">
        <v>1044</v>
      </c>
      <c r="F336" s="16" t="s">
        <v>280</v>
      </c>
      <c r="G336" s="16" t="s">
        <v>972</v>
      </c>
      <c r="H336" s="16" t="s">
        <v>190</v>
      </c>
    </row>
    <row r="337" spans="1:8" x14ac:dyDescent="0.25">
      <c r="A337" s="11" t="s">
        <v>275</v>
      </c>
      <c r="B337" s="16" t="s">
        <v>276</v>
      </c>
      <c r="C337" s="16" t="s">
        <v>1045</v>
      </c>
      <c r="D337" s="16" t="s">
        <v>1046</v>
      </c>
      <c r="E337" s="16" t="s">
        <v>1047</v>
      </c>
      <c r="F337" s="16" t="s">
        <v>280</v>
      </c>
      <c r="G337" s="16" t="s">
        <v>972</v>
      </c>
      <c r="H337" s="16" t="s">
        <v>190</v>
      </c>
    </row>
    <row r="338" spans="1:8" x14ac:dyDescent="0.25">
      <c r="A338" s="11" t="s">
        <v>275</v>
      </c>
      <c r="B338" s="16" t="s">
        <v>276</v>
      </c>
      <c r="C338" s="16" t="s">
        <v>1048</v>
      </c>
      <c r="D338" s="16" t="s">
        <v>1049</v>
      </c>
      <c r="E338" s="16" t="s">
        <v>1050</v>
      </c>
      <c r="F338" s="16" t="s">
        <v>280</v>
      </c>
      <c r="G338" s="16" t="s">
        <v>972</v>
      </c>
      <c r="H338" s="16" t="s">
        <v>190</v>
      </c>
    </row>
    <row r="339" spans="1:8" x14ac:dyDescent="0.25">
      <c r="A339" s="11" t="s">
        <v>275</v>
      </c>
      <c r="B339" s="16" t="s">
        <v>276</v>
      </c>
      <c r="C339" s="16" t="s">
        <v>1051</v>
      </c>
      <c r="D339" s="16" t="s">
        <v>1052</v>
      </c>
      <c r="E339" s="16" t="s">
        <v>1053</v>
      </c>
      <c r="F339" s="16" t="s">
        <v>280</v>
      </c>
      <c r="G339" s="16" t="s">
        <v>972</v>
      </c>
      <c r="H339" s="16" t="s">
        <v>190</v>
      </c>
    </row>
    <row r="340" spans="1:8" x14ac:dyDescent="0.25">
      <c r="A340" s="11" t="s">
        <v>275</v>
      </c>
      <c r="B340" s="16" t="s">
        <v>276</v>
      </c>
      <c r="C340" s="16" t="s">
        <v>1054</v>
      </c>
      <c r="D340" s="16" t="s">
        <v>1055</v>
      </c>
      <c r="E340" s="16" t="s">
        <v>1056</v>
      </c>
      <c r="F340" s="16" t="s">
        <v>280</v>
      </c>
      <c r="G340" s="16" t="s">
        <v>972</v>
      </c>
      <c r="H340" s="16" t="s">
        <v>190</v>
      </c>
    </row>
    <row r="341" spans="1:8" x14ac:dyDescent="0.25">
      <c r="A341" s="11" t="s">
        <v>275</v>
      </c>
      <c r="B341" s="16" t="s">
        <v>276</v>
      </c>
      <c r="C341" s="16" t="s">
        <v>1057</v>
      </c>
      <c r="D341" s="16" t="s">
        <v>1058</v>
      </c>
      <c r="E341" s="16" t="s">
        <v>1059</v>
      </c>
      <c r="F341" s="16" t="s">
        <v>280</v>
      </c>
      <c r="G341" s="16" t="s">
        <v>972</v>
      </c>
      <c r="H341" s="16" t="s">
        <v>190</v>
      </c>
    </row>
    <row r="342" spans="1:8" x14ac:dyDescent="0.25">
      <c r="A342" s="11" t="s">
        <v>275</v>
      </c>
      <c r="B342" s="16" t="s">
        <v>276</v>
      </c>
      <c r="C342" s="16" t="s">
        <v>1060</v>
      </c>
      <c r="D342" s="16" t="s">
        <v>1061</v>
      </c>
      <c r="E342" s="16" t="s">
        <v>1062</v>
      </c>
      <c r="F342" s="16" t="s">
        <v>280</v>
      </c>
      <c r="G342" s="16" t="s">
        <v>972</v>
      </c>
      <c r="H342" s="16" t="s">
        <v>190</v>
      </c>
    </row>
    <row r="343" spans="1:8" x14ac:dyDescent="0.25">
      <c r="A343" s="11" t="s">
        <v>275</v>
      </c>
      <c r="B343" s="16" t="s">
        <v>276</v>
      </c>
      <c r="C343" s="16" t="s">
        <v>1063</v>
      </c>
      <c r="D343" s="16" t="s">
        <v>1064</v>
      </c>
      <c r="E343" s="16" t="s">
        <v>1065</v>
      </c>
      <c r="F343" s="16" t="s">
        <v>280</v>
      </c>
      <c r="G343" s="16" t="s">
        <v>972</v>
      </c>
      <c r="H343" s="16" t="s">
        <v>190</v>
      </c>
    </row>
    <row r="344" spans="1:8" x14ac:dyDescent="0.25">
      <c r="A344" s="11" t="s">
        <v>275</v>
      </c>
      <c r="B344" s="16" t="s">
        <v>276</v>
      </c>
      <c r="C344" s="16" t="s">
        <v>1066</v>
      </c>
      <c r="D344" s="16" t="s">
        <v>1067</v>
      </c>
      <c r="E344" s="16" t="s">
        <v>1068</v>
      </c>
      <c r="F344" s="16" t="s">
        <v>280</v>
      </c>
      <c r="G344" s="16" t="s">
        <v>972</v>
      </c>
      <c r="H344" s="16" t="s">
        <v>190</v>
      </c>
    </row>
    <row r="345" spans="1:8" x14ac:dyDescent="0.25">
      <c r="A345" s="11" t="s">
        <v>275</v>
      </c>
      <c r="B345" s="16" t="s">
        <v>1069</v>
      </c>
      <c r="C345" s="16" t="s">
        <v>147</v>
      </c>
      <c r="D345" s="16" t="s">
        <v>1070</v>
      </c>
      <c r="E345" s="16" t="s">
        <v>873</v>
      </c>
      <c r="F345" s="16" t="s">
        <v>280</v>
      </c>
      <c r="G345" s="16" t="s">
        <v>1071</v>
      </c>
      <c r="H345" s="16" t="s">
        <v>190</v>
      </c>
    </row>
    <row r="346" spans="1:8" x14ac:dyDescent="0.25">
      <c r="A346" s="11" t="s">
        <v>275</v>
      </c>
      <c r="B346" s="16" t="s">
        <v>1069</v>
      </c>
      <c r="C346" s="16" t="s">
        <v>154</v>
      </c>
      <c r="D346" s="16" t="s">
        <v>1072</v>
      </c>
      <c r="E346" s="16" t="s">
        <v>971</v>
      </c>
      <c r="F346" s="16" t="s">
        <v>280</v>
      </c>
      <c r="G346" s="16" t="s">
        <v>1071</v>
      </c>
      <c r="H346" s="16" t="s">
        <v>190</v>
      </c>
    </row>
    <row r="347" spans="1:8" x14ac:dyDescent="0.25">
      <c r="A347" s="11" t="s">
        <v>275</v>
      </c>
      <c r="B347" s="16" t="s">
        <v>1069</v>
      </c>
      <c r="C347" s="16" t="s">
        <v>138</v>
      </c>
      <c r="D347" s="16" t="s">
        <v>1073</v>
      </c>
      <c r="E347" s="16" t="s">
        <v>283</v>
      </c>
      <c r="F347" s="16" t="s">
        <v>280</v>
      </c>
      <c r="G347" s="16" t="s">
        <v>1071</v>
      </c>
      <c r="H347" s="16" t="s">
        <v>190</v>
      </c>
    </row>
    <row r="348" spans="1:8" x14ac:dyDescent="0.25">
      <c r="A348" s="11" t="s">
        <v>275</v>
      </c>
      <c r="B348" s="16" t="s">
        <v>1069</v>
      </c>
      <c r="C348" s="16" t="s">
        <v>880</v>
      </c>
      <c r="D348" s="16" t="s">
        <v>1074</v>
      </c>
      <c r="E348" s="16" t="s">
        <v>882</v>
      </c>
      <c r="F348" s="16" t="s">
        <v>280</v>
      </c>
      <c r="G348" s="16" t="s">
        <v>1071</v>
      </c>
      <c r="H348" s="16" t="s">
        <v>190</v>
      </c>
    </row>
    <row r="349" spans="1:8" x14ac:dyDescent="0.25">
      <c r="A349" s="11" t="s">
        <v>275</v>
      </c>
      <c r="B349" s="16" t="s">
        <v>1069</v>
      </c>
      <c r="C349" s="16" t="s">
        <v>967</v>
      </c>
      <c r="D349" s="16" t="s">
        <v>1075</v>
      </c>
      <c r="E349" s="16" t="s">
        <v>969</v>
      </c>
      <c r="F349" s="16" t="s">
        <v>280</v>
      </c>
      <c r="G349" s="16" t="s">
        <v>1071</v>
      </c>
      <c r="H349" s="16" t="s">
        <v>190</v>
      </c>
    </row>
    <row r="350" spans="1:8" x14ac:dyDescent="0.25">
      <c r="A350" s="11" t="s">
        <v>275</v>
      </c>
      <c r="B350" s="16" t="s">
        <v>1069</v>
      </c>
      <c r="C350" s="16" t="s">
        <v>140</v>
      </c>
      <c r="D350" s="16" t="s">
        <v>1076</v>
      </c>
      <c r="E350" s="16" t="s">
        <v>848</v>
      </c>
      <c r="F350" s="16" t="s">
        <v>280</v>
      </c>
      <c r="G350" s="16" t="s">
        <v>1071</v>
      </c>
      <c r="H350" s="16" t="s">
        <v>190</v>
      </c>
    </row>
    <row r="351" spans="1:8" x14ac:dyDescent="0.25">
      <c r="A351" s="11" t="s">
        <v>275</v>
      </c>
      <c r="B351" s="16" t="s">
        <v>1069</v>
      </c>
      <c r="C351" s="16" t="s">
        <v>867</v>
      </c>
      <c r="D351" s="16" t="s">
        <v>1077</v>
      </c>
      <c r="E351" s="16" t="s">
        <v>869</v>
      </c>
      <c r="F351" s="16" t="s">
        <v>280</v>
      </c>
      <c r="G351" s="16" t="s">
        <v>1071</v>
      </c>
      <c r="H351" s="16" t="s">
        <v>190</v>
      </c>
    </row>
    <row r="352" spans="1:8" x14ac:dyDescent="0.25">
      <c r="A352" s="11" t="s">
        <v>275</v>
      </c>
      <c r="B352" s="16" t="s">
        <v>1069</v>
      </c>
      <c r="C352" s="16" t="s">
        <v>894</v>
      </c>
      <c r="D352" s="16" t="s">
        <v>1078</v>
      </c>
      <c r="E352" s="16" t="s">
        <v>896</v>
      </c>
      <c r="F352" s="16" t="s">
        <v>280</v>
      </c>
      <c r="G352" s="16" t="s">
        <v>1071</v>
      </c>
      <c r="H352" s="16" t="s">
        <v>190</v>
      </c>
    </row>
    <row r="353" spans="1:8" x14ac:dyDescent="0.25">
      <c r="A353" s="11" t="s">
        <v>275</v>
      </c>
      <c r="B353" s="16" t="s">
        <v>1069</v>
      </c>
      <c r="C353" s="16" t="s">
        <v>929</v>
      </c>
      <c r="D353" s="16" t="s">
        <v>1079</v>
      </c>
      <c r="E353" s="16" t="s">
        <v>931</v>
      </c>
      <c r="F353" s="16" t="s">
        <v>280</v>
      </c>
      <c r="G353" s="16" t="s">
        <v>1071</v>
      </c>
      <c r="H353" s="16" t="s">
        <v>190</v>
      </c>
    </row>
    <row r="354" spans="1:8" x14ac:dyDescent="0.25">
      <c r="A354" s="11" t="s">
        <v>275</v>
      </c>
      <c r="B354" s="16" t="s">
        <v>1069</v>
      </c>
      <c r="C354" s="16" t="s">
        <v>1080</v>
      </c>
      <c r="D354" s="16" t="s">
        <v>1081</v>
      </c>
      <c r="E354" s="16" t="s">
        <v>1082</v>
      </c>
      <c r="F354" s="16" t="s">
        <v>280</v>
      </c>
      <c r="G354" s="16" t="s">
        <v>1071</v>
      </c>
      <c r="H354" s="16" t="s">
        <v>190</v>
      </c>
    </row>
    <row r="355" spans="1:8" x14ac:dyDescent="0.25">
      <c r="A355" s="11" t="s">
        <v>275</v>
      </c>
      <c r="B355" s="16" t="s">
        <v>1069</v>
      </c>
      <c r="C355" s="16" t="s">
        <v>1083</v>
      </c>
      <c r="D355" s="16" t="s">
        <v>1084</v>
      </c>
      <c r="E355" s="16" t="s">
        <v>1085</v>
      </c>
      <c r="F355" s="16" t="s">
        <v>280</v>
      </c>
      <c r="G355" s="16" t="s">
        <v>1071</v>
      </c>
      <c r="H355" s="16" t="s">
        <v>190</v>
      </c>
    </row>
    <row r="356" spans="1:8" x14ac:dyDescent="0.25">
      <c r="A356" s="11" t="s">
        <v>275</v>
      </c>
      <c r="B356" s="16" t="s">
        <v>1069</v>
      </c>
      <c r="C356" s="16" t="s">
        <v>861</v>
      </c>
      <c r="D356" s="16" t="s">
        <v>1086</v>
      </c>
      <c r="E356" s="16" t="s">
        <v>863</v>
      </c>
      <c r="F356" s="16" t="s">
        <v>280</v>
      </c>
      <c r="G356" s="16" t="s">
        <v>1071</v>
      </c>
      <c r="H356" s="16" t="s">
        <v>190</v>
      </c>
    </row>
    <row r="357" spans="1:8" x14ac:dyDescent="0.25">
      <c r="A357" s="11" t="s">
        <v>275</v>
      </c>
      <c r="B357" s="16" t="s">
        <v>1069</v>
      </c>
      <c r="C357" s="16" t="s">
        <v>946</v>
      </c>
      <c r="D357" s="16" t="s">
        <v>1087</v>
      </c>
      <c r="E357" s="16" t="s">
        <v>948</v>
      </c>
      <c r="F357" s="16" t="s">
        <v>280</v>
      </c>
      <c r="G357" s="16" t="s">
        <v>1071</v>
      </c>
      <c r="H357" s="16" t="s">
        <v>190</v>
      </c>
    </row>
    <row r="358" spans="1:8" x14ac:dyDescent="0.25">
      <c r="A358" s="11" t="s">
        <v>275</v>
      </c>
      <c r="B358" s="16" t="s">
        <v>1069</v>
      </c>
      <c r="C358" s="16" t="s">
        <v>137</v>
      </c>
      <c r="D358" s="16" t="s">
        <v>1088</v>
      </c>
      <c r="E358" s="16" t="s">
        <v>279</v>
      </c>
      <c r="F358" s="16" t="s">
        <v>280</v>
      </c>
      <c r="G358" s="16" t="s">
        <v>1071</v>
      </c>
      <c r="H358" s="16" t="s">
        <v>190</v>
      </c>
    </row>
    <row r="359" spans="1:8" x14ac:dyDescent="0.25">
      <c r="A359" s="11" t="s">
        <v>275</v>
      </c>
      <c r="B359" s="16" t="s">
        <v>1069</v>
      </c>
      <c r="C359" s="16" t="s">
        <v>985</v>
      </c>
      <c r="D359" s="16" t="s">
        <v>1089</v>
      </c>
      <c r="E359" s="16" t="s">
        <v>987</v>
      </c>
      <c r="F359" s="16" t="s">
        <v>280</v>
      </c>
      <c r="G359" s="16" t="s">
        <v>1071</v>
      </c>
      <c r="H359" s="16" t="s">
        <v>190</v>
      </c>
    </row>
    <row r="360" spans="1:8" x14ac:dyDescent="0.25">
      <c r="A360" s="11" t="s">
        <v>275</v>
      </c>
      <c r="B360" s="16" t="s">
        <v>1069</v>
      </c>
      <c r="C360" s="16" t="s">
        <v>1090</v>
      </c>
      <c r="D360" s="16" t="s">
        <v>1091</v>
      </c>
      <c r="E360" s="16" t="s">
        <v>1092</v>
      </c>
      <c r="F360" s="16" t="s">
        <v>280</v>
      </c>
      <c r="G360" s="16" t="s">
        <v>1071</v>
      </c>
      <c r="H360" s="16" t="s">
        <v>190</v>
      </c>
    </row>
    <row r="361" spans="1:8" x14ac:dyDescent="0.25">
      <c r="A361" s="11" t="s">
        <v>275</v>
      </c>
      <c r="B361" s="16" t="s">
        <v>1069</v>
      </c>
      <c r="C361" s="16" t="s">
        <v>979</v>
      </c>
      <c r="D361" s="16" t="s">
        <v>1093</v>
      </c>
      <c r="E361" s="16" t="s">
        <v>981</v>
      </c>
      <c r="F361" s="16" t="s">
        <v>280</v>
      </c>
      <c r="G361" s="16" t="s">
        <v>1071</v>
      </c>
      <c r="H361" s="16" t="s">
        <v>190</v>
      </c>
    </row>
    <row r="362" spans="1:8" x14ac:dyDescent="0.25">
      <c r="A362" s="11" t="s">
        <v>275</v>
      </c>
      <c r="B362" s="16" t="s">
        <v>1069</v>
      </c>
      <c r="C362" s="16" t="s">
        <v>883</v>
      </c>
      <c r="D362" s="16" t="s">
        <v>1094</v>
      </c>
      <c r="E362" s="16" t="s">
        <v>885</v>
      </c>
      <c r="F362" s="16" t="s">
        <v>280</v>
      </c>
      <c r="G362" s="16" t="s">
        <v>1071</v>
      </c>
      <c r="H362" s="16" t="s">
        <v>190</v>
      </c>
    </row>
    <row r="363" spans="1:8" x14ac:dyDescent="0.25">
      <c r="A363" s="11" t="s">
        <v>275</v>
      </c>
      <c r="B363" s="16" t="s">
        <v>1069</v>
      </c>
      <c r="C363" s="16" t="s">
        <v>149</v>
      </c>
      <c r="D363" s="16" t="s">
        <v>1095</v>
      </c>
      <c r="E363" s="16" t="s">
        <v>889</v>
      </c>
      <c r="F363" s="16" t="s">
        <v>280</v>
      </c>
      <c r="G363" s="16" t="s">
        <v>1071</v>
      </c>
      <c r="H363" s="16" t="s">
        <v>190</v>
      </c>
    </row>
    <row r="364" spans="1:8" x14ac:dyDescent="0.25">
      <c r="A364" s="11" t="s">
        <v>275</v>
      </c>
      <c r="B364" s="16" t="s">
        <v>1069</v>
      </c>
      <c r="C364" s="16" t="s">
        <v>905</v>
      </c>
      <c r="D364" s="16" t="s">
        <v>1096</v>
      </c>
      <c r="E364" s="16" t="s">
        <v>907</v>
      </c>
      <c r="F364" s="16" t="s">
        <v>280</v>
      </c>
      <c r="G364" s="16" t="s">
        <v>1071</v>
      </c>
      <c r="H364" s="16" t="s">
        <v>190</v>
      </c>
    </row>
    <row r="365" spans="1:8" x14ac:dyDescent="0.25">
      <c r="A365" s="11" t="s">
        <v>275</v>
      </c>
      <c r="B365" s="16" t="s">
        <v>1069</v>
      </c>
      <c r="C365" s="16" t="s">
        <v>908</v>
      </c>
      <c r="D365" s="16" t="s">
        <v>1097</v>
      </c>
      <c r="E365" s="16" t="s">
        <v>910</v>
      </c>
      <c r="F365" s="16" t="s">
        <v>280</v>
      </c>
      <c r="G365" s="16" t="s">
        <v>1071</v>
      </c>
      <c r="H365" s="16" t="s">
        <v>190</v>
      </c>
    </row>
    <row r="366" spans="1:8" x14ac:dyDescent="0.25">
      <c r="A366" s="11" t="s">
        <v>275</v>
      </c>
      <c r="B366" s="16" t="s">
        <v>1069</v>
      </c>
      <c r="C366" s="16" t="s">
        <v>897</v>
      </c>
      <c r="D366" s="16" t="s">
        <v>1098</v>
      </c>
      <c r="E366" s="16" t="s">
        <v>899</v>
      </c>
      <c r="F366" s="16" t="s">
        <v>280</v>
      </c>
      <c r="G366" s="16" t="s">
        <v>1071</v>
      </c>
      <c r="H366" s="16" t="s">
        <v>190</v>
      </c>
    </row>
    <row r="367" spans="1:8" x14ac:dyDescent="0.25">
      <c r="A367" s="11" t="s">
        <v>275</v>
      </c>
      <c r="B367" s="16" t="s">
        <v>1069</v>
      </c>
      <c r="C367" s="16" t="s">
        <v>941</v>
      </c>
      <c r="D367" s="16" t="s">
        <v>1099</v>
      </c>
      <c r="E367" s="16" t="s">
        <v>943</v>
      </c>
      <c r="F367" s="16" t="s">
        <v>280</v>
      </c>
      <c r="G367" s="16" t="s">
        <v>1071</v>
      </c>
      <c r="H367" s="16" t="s">
        <v>190</v>
      </c>
    </row>
    <row r="368" spans="1:8" x14ac:dyDescent="0.25">
      <c r="A368" s="11" t="s">
        <v>275</v>
      </c>
      <c r="B368" s="16" t="s">
        <v>1069</v>
      </c>
      <c r="C368" s="16" t="s">
        <v>155</v>
      </c>
      <c r="D368" s="16" t="s">
        <v>1100</v>
      </c>
      <c r="E368" s="16" t="s">
        <v>1101</v>
      </c>
      <c r="F368" s="16" t="s">
        <v>280</v>
      </c>
      <c r="G368" s="16" t="s">
        <v>1071</v>
      </c>
      <c r="H368" s="16" t="s">
        <v>190</v>
      </c>
    </row>
    <row r="369" spans="1:8" x14ac:dyDescent="0.25">
      <c r="A369" s="11" t="s">
        <v>275</v>
      </c>
      <c r="B369" s="16" t="s">
        <v>1069</v>
      </c>
      <c r="C369" s="16" t="s">
        <v>152</v>
      </c>
      <c r="D369" s="16" t="s">
        <v>1102</v>
      </c>
      <c r="E369" s="16" t="s">
        <v>901</v>
      </c>
      <c r="F369" s="16" t="s">
        <v>280</v>
      </c>
      <c r="G369" s="16" t="s">
        <v>1071</v>
      </c>
      <c r="H369" s="16" t="s">
        <v>190</v>
      </c>
    </row>
    <row r="370" spans="1:8" x14ac:dyDescent="0.25">
      <c r="A370" s="11" t="s">
        <v>275</v>
      </c>
      <c r="B370" s="16" t="s">
        <v>1069</v>
      </c>
      <c r="C370" s="16" t="s">
        <v>932</v>
      </c>
      <c r="D370" s="16" t="s">
        <v>1103</v>
      </c>
      <c r="E370" s="16" t="s">
        <v>934</v>
      </c>
      <c r="F370" s="16" t="s">
        <v>280</v>
      </c>
      <c r="G370" s="16" t="s">
        <v>1071</v>
      </c>
      <c r="H370" s="16" t="s">
        <v>190</v>
      </c>
    </row>
    <row r="371" spans="1:8" x14ac:dyDescent="0.25">
      <c r="A371" s="11" t="s">
        <v>275</v>
      </c>
      <c r="B371" s="16" t="s">
        <v>1069</v>
      </c>
      <c r="C371" s="16" t="s">
        <v>1104</v>
      </c>
      <c r="D371" s="16" t="s">
        <v>1105</v>
      </c>
      <c r="E371" s="16" t="s">
        <v>1106</v>
      </c>
      <c r="F371" s="16" t="s">
        <v>280</v>
      </c>
      <c r="G371" s="16" t="s">
        <v>1071</v>
      </c>
      <c r="H371" s="16" t="s">
        <v>190</v>
      </c>
    </row>
    <row r="372" spans="1:8" x14ac:dyDescent="0.25">
      <c r="A372" s="11" t="s">
        <v>275</v>
      </c>
      <c r="B372" s="16" t="s">
        <v>1069</v>
      </c>
      <c r="C372" s="16" t="s">
        <v>958</v>
      </c>
      <c r="D372" s="16" t="s">
        <v>1107</v>
      </c>
      <c r="E372" s="16" t="s">
        <v>960</v>
      </c>
      <c r="F372" s="16" t="s">
        <v>280</v>
      </c>
      <c r="G372" s="16" t="s">
        <v>1071</v>
      </c>
      <c r="H372" s="16" t="s">
        <v>190</v>
      </c>
    </row>
    <row r="373" spans="1:8" x14ac:dyDescent="0.25">
      <c r="A373" s="11" t="s">
        <v>275</v>
      </c>
      <c r="B373" s="16" t="s">
        <v>1069</v>
      </c>
      <c r="C373" s="16" t="s">
        <v>139</v>
      </c>
      <c r="D373" s="16" t="s">
        <v>1108</v>
      </c>
      <c r="E373" s="16" t="s">
        <v>846</v>
      </c>
      <c r="F373" s="16" t="s">
        <v>280</v>
      </c>
      <c r="G373" s="16" t="s">
        <v>1071</v>
      </c>
      <c r="H373" s="16" t="s">
        <v>190</v>
      </c>
    </row>
    <row r="374" spans="1:8" x14ac:dyDescent="0.25">
      <c r="A374" s="11" t="s">
        <v>275</v>
      </c>
      <c r="B374" s="16" t="s">
        <v>1069</v>
      </c>
      <c r="C374" s="16" t="s">
        <v>1109</v>
      </c>
      <c r="D374" s="16" t="s">
        <v>1110</v>
      </c>
      <c r="E374" s="16" t="s">
        <v>1111</v>
      </c>
      <c r="F374" s="16" t="s">
        <v>280</v>
      </c>
      <c r="G374" s="16" t="s">
        <v>1071</v>
      </c>
      <c r="H374" s="16" t="s">
        <v>190</v>
      </c>
    </row>
    <row r="375" spans="1:8" x14ac:dyDescent="0.25">
      <c r="A375" s="11" t="s">
        <v>275</v>
      </c>
      <c r="B375" s="16" t="s">
        <v>841</v>
      </c>
      <c r="C375" s="16" t="s">
        <v>156</v>
      </c>
      <c r="D375" s="16" t="s">
        <v>1112</v>
      </c>
      <c r="E375" s="16" t="s">
        <v>1113</v>
      </c>
      <c r="F375" s="16" t="s">
        <v>280</v>
      </c>
      <c r="G375" s="16" t="s">
        <v>1114</v>
      </c>
      <c r="H375" s="16" t="s">
        <v>190</v>
      </c>
    </row>
    <row r="376" spans="1:8" x14ac:dyDescent="0.25">
      <c r="A376" s="11" t="s">
        <v>275</v>
      </c>
      <c r="B376" s="16" t="s">
        <v>841</v>
      </c>
      <c r="C376" s="16" t="s">
        <v>157</v>
      </c>
      <c r="D376" s="16" t="s">
        <v>1115</v>
      </c>
      <c r="E376" s="16" t="s">
        <v>1116</v>
      </c>
      <c r="F376" s="16" t="s">
        <v>280</v>
      </c>
      <c r="G376" s="16" t="s">
        <v>1114</v>
      </c>
      <c r="H376" s="16" t="s">
        <v>190</v>
      </c>
    </row>
    <row r="377" spans="1:8" x14ac:dyDescent="0.25">
      <c r="A377" s="11" t="s">
        <v>275</v>
      </c>
      <c r="B377" s="16" t="s">
        <v>841</v>
      </c>
      <c r="C377" s="16" t="s">
        <v>158</v>
      </c>
      <c r="D377" s="16" t="s">
        <v>1117</v>
      </c>
      <c r="E377" s="16" t="s">
        <v>1118</v>
      </c>
      <c r="F377" s="16" t="s">
        <v>280</v>
      </c>
      <c r="G377" s="16" t="s">
        <v>1114</v>
      </c>
      <c r="H377" s="16" t="s">
        <v>190</v>
      </c>
    </row>
    <row r="378" spans="1:8" x14ac:dyDescent="0.25">
      <c r="A378" s="11" t="s">
        <v>275</v>
      </c>
      <c r="B378" s="16" t="s">
        <v>841</v>
      </c>
      <c r="C378" s="16" t="s">
        <v>1119</v>
      </c>
      <c r="D378" s="16" t="s">
        <v>1120</v>
      </c>
      <c r="E378" s="16" t="s">
        <v>1121</v>
      </c>
      <c r="F378" s="16" t="s">
        <v>280</v>
      </c>
      <c r="G378" s="16" t="s">
        <v>1114</v>
      </c>
      <c r="H378" s="16" t="s">
        <v>190</v>
      </c>
    </row>
    <row r="379" spans="1:8" x14ac:dyDescent="0.25">
      <c r="A379" s="11" t="s">
        <v>275</v>
      </c>
      <c r="B379" s="16" t="s">
        <v>841</v>
      </c>
      <c r="C379" s="16" t="s">
        <v>1122</v>
      </c>
      <c r="D379" s="16" t="s">
        <v>1123</v>
      </c>
      <c r="E379" s="16" t="s">
        <v>1124</v>
      </c>
      <c r="F379" s="16" t="s">
        <v>280</v>
      </c>
      <c r="G379" s="16" t="s">
        <v>1114</v>
      </c>
      <c r="H379" s="16" t="s">
        <v>190</v>
      </c>
    </row>
    <row r="380" spans="1:8" x14ac:dyDescent="0.25">
      <c r="A380" s="11" t="s">
        <v>275</v>
      </c>
      <c r="B380" s="16" t="s">
        <v>841</v>
      </c>
      <c r="C380" s="16" t="s">
        <v>1125</v>
      </c>
      <c r="D380" s="16" t="s">
        <v>1126</v>
      </c>
      <c r="E380" s="16" t="s">
        <v>1127</v>
      </c>
      <c r="F380" s="16" t="s">
        <v>280</v>
      </c>
      <c r="G380" s="16" t="s">
        <v>1114</v>
      </c>
      <c r="H380" s="16" t="s">
        <v>190</v>
      </c>
    </row>
    <row r="381" spans="1:8" x14ac:dyDescent="0.25">
      <c r="A381" s="11" t="s">
        <v>275</v>
      </c>
      <c r="B381" s="16" t="s">
        <v>841</v>
      </c>
      <c r="C381" s="16" t="s">
        <v>1128</v>
      </c>
      <c r="D381" s="16" t="s">
        <v>1129</v>
      </c>
      <c r="E381" s="16" t="s">
        <v>1130</v>
      </c>
      <c r="F381" s="16" t="s">
        <v>280</v>
      </c>
      <c r="G381" s="16" t="s">
        <v>1114</v>
      </c>
      <c r="H381" s="16" t="s">
        <v>190</v>
      </c>
    </row>
    <row r="382" spans="1:8" x14ac:dyDescent="0.25">
      <c r="A382" s="11" t="s">
        <v>275</v>
      </c>
      <c r="B382" s="16" t="s">
        <v>841</v>
      </c>
      <c r="C382" s="16" t="s">
        <v>1131</v>
      </c>
      <c r="D382" s="16" t="s">
        <v>1132</v>
      </c>
      <c r="E382" s="16" t="s">
        <v>1133</v>
      </c>
      <c r="F382" s="16" t="s">
        <v>280</v>
      </c>
      <c r="G382" s="16" t="s">
        <v>1114</v>
      </c>
      <c r="H382" s="16" t="s">
        <v>190</v>
      </c>
    </row>
    <row r="383" spans="1:8" x14ac:dyDescent="0.25">
      <c r="A383" s="11" t="s">
        <v>275</v>
      </c>
      <c r="B383" s="16" t="s">
        <v>841</v>
      </c>
      <c r="C383" s="16" t="s">
        <v>1134</v>
      </c>
      <c r="D383" s="16" t="s">
        <v>1135</v>
      </c>
      <c r="E383" s="16" t="s">
        <v>1136</v>
      </c>
      <c r="F383" s="16" t="s">
        <v>280</v>
      </c>
      <c r="G383" s="16" t="s">
        <v>1114</v>
      </c>
      <c r="H383" s="16" t="s">
        <v>190</v>
      </c>
    </row>
    <row r="384" spans="1:8" x14ac:dyDescent="0.25">
      <c r="A384" s="11" t="s">
        <v>275</v>
      </c>
      <c r="B384" s="16" t="s">
        <v>841</v>
      </c>
      <c r="C384" s="16" t="s">
        <v>1137</v>
      </c>
      <c r="D384" s="16" t="s">
        <v>1138</v>
      </c>
      <c r="E384" s="16" t="s">
        <v>1139</v>
      </c>
      <c r="F384" s="16" t="s">
        <v>280</v>
      </c>
      <c r="G384" s="16" t="s">
        <v>1114</v>
      </c>
      <c r="H384" s="16" t="s">
        <v>190</v>
      </c>
    </row>
    <row r="385" spans="1:8" x14ac:dyDescent="0.25">
      <c r="A385" s="11" t="s">
        <v>275</v>
      </c>
      <c r="B385" s="16" t="s">
        <v>841</v>
      </c>
      <c r="C385" s="16" t="s">
        <v>1140</v>
      </c>
      <c r="D385" s="16" t="s">
        <v>1141</v>
      </c>
      <c r="E385" s="16" t="s">
        <v>1142</v>
      </c>
      <c r="F385" s="16" t="s">
        <v>280</v>
      </c>
      <c r="G385" s="16" t="s">
        <v>1114</v>
      </c>
      <c r="H385" s="16" t="s">
        <v>190</v>
      </c>
    </row>
    <row r="386" spans="1:8" x14ac:dyDescent="0.25">
      <c r="A386" s="11" t="s">
        <v>275</v>
      </c>
      <c r="B386" s="16" t="s">
        <v>841</v>
      </c>
      <c r="C386" s="16" t="s">
        <v>1143</v>
      </c>
      <c r="D386" s="16" t="s">
        <v>1144</v>
      </c>
      <c r="E386" s="16" t="s">
        <v>1145</v>
      </c>
      <c r="F386" s="16" t="s">
        <v>280</v>
      </c>
      <c r="G386" s="16" t="s">
        <v>1114</v>
      </c>
      <c r="H386" s="16" t="s">
        <v>190</v>
      </c>
    </row>
    <row r="387" spans="1:8" x14ac:dyDescent="0.25">
      <c r="A387" s="11" t="s">
        <v>275</v>
      </c>
      <c r="B387" s="16" t="s">
        <v>841</v>
      </c>
      <c r="C387" s="16" t="s">
        <v>1146</v>
      </c>
      <c r="D387" s="16" t="s">
        <v>1147</v>
      </c>
      <c r="E387" s="16" t="s">
        <v>1148</v>
      </c>
      <c r="F387" s="16" t="s">
        <v>280</v>
      </c>
      <c r="G387" s="16" t="s">
        <v>1114</v>
      </c>
      <c r="H387" s="16" t="s">
        <v>190</v>
      </c>
    </row>
    <row r="388" spans="1:8" x14ac:dyDescent="0.25">
      <c r="A388" s="11" t="s">
        <v>275</v>
      </c>
      <c r="B388" s="16" t="s">
        <v>841</v>
      </c>
      <c r="C388" s="16" t="s">
        <v>1149</v>
      </c>
      <c r="D388" s="16" t="s">
        <v>1150</v>
      </c>
      <c r="E388" s="16" t="s">
        <v>1151</v>
      </c>
      <c r="F388" s="16" t="s">
        <v>280</v>
      </c>
      <c r="G388" s="16" t="s">
        <v>1114</v>
      </c>
      <c r="H388" s="16" t="s">
        <v>190</v>
      </c>
    </row>
    <row r="389" spans="1:8" x14ac:dyDescent="0.25">
      <c r="A389" s="11" t="s">
        <v>275</v>
      </c>
      <c r="B389" s="16" t="s">
        <v>841</v>
      </c>
      <c r="C389" s="16" t="s">
        <v>1152</v>
      </c>
      <c r="D389" s="16" t="s">
        <v>1153</v>
      </c>
      <c r="E389" s="16" t="s">
        <v>1154</v>
      </c>
      <c r="F389" s="16" t="s">
        <v>280</v>
      </c>
      <c r="G389" s="16" t="s">
        <v>1114</v>
      </c>
      <c r="H389" s="16" t="s">
        <v>190</v>
      </c>
    </row>
    <row r="390" spans="1:8" x14ac:dyDescent="0.25">
      <c r="A390" s="11" t="s">
        <v>275</v>
      </c>
      <c r="B390" s="16" t="s">
        <v>841</v>
      </c>
      <c r="C390" s="16" t="s">
        <v>1155</v>
      </c>
      <c r="D390" s="16" t="s">
        <v>1156</v>
      </c>
      <c r="E390" s="16" t="s">
        <v>1157</v>
      </c>
      <c r="F390" s="16" t="s">
        <v>280</v>
      </c>
      <c r="G390" s="16" t="s">
        <v>1114</v>
      </c>
      <c r="H390" s="16" t="s">
        <v>190</v>
      </c>
    </row>
    <row r="391" spans="1:8" x14ac:dyDescent="0.25">
      <c r="A391" s="11" t="s">
        <v>275</v>
      </c>
      <c r="B391" s="16" t="s">
        <v>841</v>
      </c>
      <c r="C391" s="16" t="s">
        <v>1158</v>
      </c>
      <c r="D391" s="16" t="s">
        <v>1159</v>
      </c>
      <c r="E391" s="16" t="s">
        <v>1160</v>
      </c>
      <c r="F391" s="16" t="s">
        <v>280</v>
      </c>
      <c r="G391" s="16" t="s">
        <v>1114</v>
      </c>
      <c r="H391" s="16" t="s">
        <v>190</v>
      </c>
    </row>
    <row r="392" spans="1:8" x14ac:dyDescent="0.25">
      <c r="A392" s="11" t="s">
        <v>275</v>
      </c>
      <c r="B392" s="16" t="s">
        <v>841</v>
      </c>
      <c r="C392" s="16" t="s">
        <v>1161</v>
      </c>
      <c r="D392" s="16" t="s">
        <v>1162</v>
      </c>
      <c r="E392" s="16" t="s">
        <v>1163</v>
      </c>
      <c r="F392" s="16" t="s">
        <v>280</v>
      </c>
      <c r="G392" s="16" t="s">
        <v>1114</v>
      </c>
      <c r="H392" s="16" t="s">
        <v>190</v>
      </c>
    </row>
    <row r="393" spans="1:8" x14ac:dyDescent="0.25">
      <c r="A393" s="11" t="s">
        <v>275</v>
      </c>
      <c r="B393" s="16" t="s">
        <v>841</v>
      </c>
      <c r="C393" s="16" t="s">
        <v>1164</v>
      </c>
      <c r="D393" s="16" t="s">
        <v>1165</v>
      </c>
      <c r="E393" s="16" t="s">
        <v>1166</v>
      </c>
      <c r="F393" s="16" t="s">
        <v>280</v>
      </c>
      <c r="G393" s="16" t="s">
        <v>1114</v>
      </c>
      <c r="H393" s="16" t="s">
        <v>190</v>
      </c>
    </row>
    <row r="394" spans="1:8" x14ac:dyDescent="0.25">
      <c r="A394" s="11" t="s">
        <v>275</v>
      </c>
      <c r="B394" s="16" t="s">
        <v>841</v>
      </c>
      <c r="C394" s="16" t="s">
        <v>1167</v>
      </c>
      <c r="D394" s="16" t="s">
        <v>1168</v>
      </c>
      <c r="E394" s="16" t="s">
        <v>1169</v>
      </c>
      <c r="F394" s="16" t="s">
        <v>280</v>
      </c>
      <c r="G394" s="16" t="s">
        <v>1114</v>
      </c>
      <c r="H394" s="16" t="s">
        <v>190</v>
      </c>
    </row>
    <row r="395" spans="1:8" x14ac:dyDescent="0.25">
      <c r="A395" s="11" t="s">
        <v>275</v>
      </c>
      <c r="B395" s="16" t="s">
        <v>841</v>
      </c>
      <c r="C395" s="16" t="s">
        <v>1170</v>
      </c>
      <c r="D395" s="16" t="s">
        <v>1171</v>
      </c>
      <c r="E395" s="16" t="s">
        <v>1172</v>
      </c>
      <c r="F395" s="16" t="s">
        <v>280</v>
      </c>
      <c r="G395" s="16" t="s">
        <v>1114</v>
      </c>
      <c r="H395" s="16" t="s">
        <v>190</v>
      </c>
    </row>
    <row r="396" spans="1:8" x14ac:dyDescent="0.25">
      <c r="A396" s="11" t="s">
        <v>275</v>
      </c>
      <c r="B396" s="16" t="s">
        <v>841</v>
      </c>
      <c r="C396" s="16" t="s">
        <v>1173</v>
      </c>
      <c r="D396" s="16" t="s">
        <v>1174</v>
      </c>
      <c r="E396" s="16" t="s">
        <v>1175</v>
      </c>
      <c r="F396" s="16" t="s">
        <v>280</v>
      </c>
      <c r="G396" s="16" t="s">
        <v>1114</v>
      </c>
      <c r="H396" s="16" t="s">
        <v>190</v>
      </c>
    </row>
    <row r="397" spans="1:8" x14ac:dyDescent="0.25">
      <c r="A397" s="11" t="s">
        <v>275</v>
      </c>
      <c r="B397" s="16" t="s">
        <v>841</v>
      </c>
      <c r="C397" s="16" t="s">
        <v>1176</v>
      </c>
      <c r="D397" s="16" t="s">
        <v>1177</v>
      </c>
      <c r="E397" s="16" t="s">
        <v>1178</v>
      </c>
      <c r="F397" s="16" t="s">
        <v>280</v>
      </c>
      <c r="G397" s="16" t="s">
        <v>1114</v>
      </c>
      <c r="H397" s="16" t="s">
        <v>190</v>
      </c>
    </row>
    <row r="398" spans="1:8" x14ac:dyDescent="0.25">
      <c r="A398" s="11" t="s">
        <v>275</v>
      </c>
      <c r="B398" s="16" t="s">
        <v>841</v>
      </c>
      <c r="C398" s="16" t="s">
        <v>1179</v>
      </c>
      <c r="D398" s="16" t="s">
        <v>1180</v>
      </c>
      <c r="E398" s="16" t="s">
        <v>1181</v>
      </c>
      <c r="F398" s="16" t="s">
        <v>280</v>
      </c>
      <c r="G398" s="16" t="s">
        <v>1114</v>
      </c>
      <c r="H398" s="16" t="s">
        <v>190</v>
      </c>
    </row>
    <row r="399" spans="1:8" x14ac:dyDescent="0.25">
      <c r="A399" s="11" t="s">
        <v>275</v>
      </c>
      <c r="B399" s="16" t="s">
        <v>841</v>
      </c>
      <c r="C399" s="16" t="s">
        <v>1182</v>
      </c>
      <c r="D399" s="16" t="s">
        <v>1183</v>
      </c>
      <c r="E399" s="16" t="s">
        <v>1184</v>
      </c>
      <c r="F399" s="16" t="s">
        <v>280</v>
      </c>
      <c r="G399" s="16" t="s">
        <v>1114</v>
      </c>
      <c r="H399" s="16" t="s">
        <v>190</v>
      </c>
    </row>
    <row r="400" spans="1:8" x14ac:dyDescent="0.25">
      <c r="A400" s="11" t="s">
        <v>275</v>
      </c>
      <c r="B400" s="16" t="s">
        <v>841</v>
      </c>
      <c r="C400" s="16" t="s">
        <v>1185</v>
      </c>
      <c r="D400" s="16" t="s">
        <v>1186</v>
      </c>
      <c r="E400" s="16" t="s">
        <v>1187</v>
      </c>
      <c r="F400" s="16" t="s">
        <v>280</v>
      </c>
      <c r="G400" s="16" t="s">
        <v>1114</v>
      </c>
      <c r="H400" s="16" t="s">
        <v>190</v>
      </c>
    </row>
    <row r="401" spans="1:8" x14ac:dyDescent="0.25">
      <c r="A401" s="11" t="s">
        <v>275</v>
      </c>
      <c r="B401" s="16" t="s">
        <v>841</v>
      </c>
      <c r="C401" s="16" t="s">
        <v>1188</v>
      </c>
      <c r="D401" s="16" t="s">
        <v>1189</v>
      </c>
      <c r="E401" s="16" t="s">
        <v>1190</v>
      </c>
      <c r="F401" s="16" t="s">
        <v>280</v>
      </c>
      <c r="G401" s="16" t="s">
        <v>1114</v>
      </c>
      <c r="H401" s="16" t="s">
        <v>190</v>
      </c>
    </row>
    <row r="402" spans="1:8" x14ac:dyDescent="0.25">
      <c r="A402" s="11" t="s">
        <v>275</v>
      </c>
      <c r="B402" s="16" t="s">
        <v>841</v>
      </c>
      <c r="C402" s="16" t="s">
        <v>1191</v>
      </c>
      <c r="D402" s="16" t="s">
        <v>1192</v>
      </c>
      <c r="E402" s="16" t="s">
        <v>1193</v>
      </c>
      <c r="F402" s="16" t="s">
        <v>280</v>
      </c>
      <c r="G402" s="16" t="s">
        <v>1114</v>
      </c>
      <c r="H402" s="16" t="s">
        <v>190</v>
      </c>
    </row>
    <row r="403" spans="1:8" x14ac:dyDescent="0.25">
      <c r="A403" s="11" t="s">
        <v>275</v>
      </c>
      <c r="B403" s="16" t="s">
        <v>841</v>
      </c>
      <c r="C403" s="16" t="s">
        <v>1194</v>
      </c>
      <c r="D403" s="16" t="s">
        <v>1195</v>
      </c>
      <c r="E403" s="16" t="s">
        <v>1196</v>
      </c>
      <c r="F403" s="16" t="s">
        <v>280</v>
      </c>
      <c r="G403" s="16" t="s">
        <v>1114</v>
      </c>
      <c r="H403" s="16" t="s">
        <v>190</v>
      </c>
    </row>
    <row r="404" spans="1:8" x14ac:dyDescent="0.25">
      <c r="A404" s="11" t="s">
        <v>275</v>
      </c>
      <c r="B404" s="16" t="s">
        <v>841</v>
      </c>
      <c r="C404" s="16" t="s">
        <v>1197</v>
      </c>
      <c r="D404" s="16" t="s">
        <v>1198</v>
      </c>
      <c r="E404" s="16" t="s">
        <v>1199</v>
      </c>
      <c r="F404" s="16" t="s">
        <v>280</v>
      </c>
      <c r="G404" s="16" t="s">
        <v>1114</v>
      </c>
      <c r="H404" s="16" t="s">
        <v>190</v>
      </c>
    </row>
    <row r="405" spans="1:8" x14ac:dyDescent="0.25">
      <c r="A405" s="11" t="s">
        <v>275</v>
      </c>
      <c r="B405" s="16" t="s">
        <v>841</v>
      </c>
      <c r="C405" s="16" t="s">
        <v>1200</v>
      </c>
      <c r="D405" s="16" t="s">
        <v>1201</v>
      </c>
      <c r="E405" s="16" t="s">
        <v>1202</v>
      </c>
      <c r="F405" s="16" t="s">
        <v>280</v>
      </c>
      <c r="G405" s="16" t="s">
        <v>1114</v>
      </c>
      <c r="H405" s="16" t="s">
        <v>190</v>
      </c>
    </row>
    <row r="406" spans="1:8" x14ac:dyDescent="0.25">
      <c r="A406" s="11" t="s">
        <v>275</v>
      </c>
      <c r="B406" s="16" t="s">
        <v>841</v>
      </c>
      <c r="C406" s="16" t="s">
        <v>1203</v>
      </c>
      <c r="D406" s="16" t="s">
        <v>1204</v>
      </c>
      <c r="E406" s="16" t="s">
        <v>1205</v>
      </c>
      <c r="F406" s="16" t="s">
        <v>280</v>
      </c>
      <c r="G406" s="16" t="s">
        <v>1114</v>
      </c>
      <c r="H406" s="16" t="s">
        <v>190</v>
      </c>
    </row>
    <row r="407" spans="1:8" x14ac:dyDescent="0.25">
      <c r="A407" s="11" t="s">
        <v>275</v>
      </c>
      <c r="B407" s="16" t="s">
        <v>841</v>
      </c>
      <c r="C407" s="16" t="s">
        <v>1206</v>
      </c>
      <c r="D407" s="16" t="s">
        <v>1207</v>
      </c>
      <c r="E407" s="16" t="s">
        <v>1208</v>
      </c>
      <c r="F407" s="16" t="s">
        <v>280</v>
      </c>
      <c r="G407" s="16" t="s">
        <v>1114</v>
      </c>
      <c r="H407" s="16" t="s">
        <v>190</v>
      </c>
    </row>
    <row r="408" spans="1:8" x14ac:dyDescent="0.25">
      <c r="A408" s="11" t="s">
        <v>275</v>
      </c>
      <c r="B408" s="16" t="s">
        <v>841</v>
      </c>
      <c r="C408" s="16" t="s">
        <v>1209</v>
      </c>
      <c r="D408" s="16" t="s">
        <v>1210</v>
      </c>
      <c r="E408" s="16" t="s">
        <v>1211</v>
      </c>
      <c r="F408" s="16" t="s">
        <v>280</v>
      </c>
      <c r="G408" s="16" t="s">
        <v>1114</v>
      </c>
      <c r="H408" s="16" t="s">
        <v>190</v>
      </c>
    </row>
    <row r="409" spans="1:8" x14ac:dyDescent="0.25">
      <c r="A409" s="11" t="s">
        <v>275</v>
      </c>
      <c r="B409" s="16" t="s">
        <v>841</v>
      </c>
      <c r="C409" s="16" t="s">
        <v>1212</v>
      </c>
      <c r="D409" s="16" t="s">
        <v>1213</v>
      </c>
      <c r="E409" s="16" t="s">
        <v>1214</v>
      </c>
      <c r="F409" s="16" t="s">
        <v>280</v>
      </c>
      <c r="G409" s="16" t="s">
        <v>1114</v>
      </c>
      <c r="H409" s="16" t="s">
        <v>190</v>
      </c>
    </row>
    <row r="410" spans="1:8" x14ac:dyDescent="0.25">
      <c r="A410" s="11" t="s">
        <v>275</v>
      </c>
      <c r="B410" s="16" t="s">
        <v>841</v>
      </c>
      <c r="C410" s="16" t="s">
        <v>1215</v>
      </c>
      <c r="D410" s="16" t="s">
        <v>1216</v>
      </c>
      <c r="E410" s="16" t="s">
        <v>1217</v>
      </c>
      <c r="F410" s="16" t="s">
        <v>280</v>
      </c>
      <c r="G410" s="16" t="s">
        <v>1114</v>
      </c>
      <c r="H410" s="16" t="s">
        <v>190</v>
      </c>
    </row>
    <row r="411" spans="1:8" x14ac:dyDescent="0.25">
      <c r="A411" s="11" t="s">
        <v>275</v>
      </c>
      <c r="B411" s="16" t="s">
        <v>841</v>
      </c>
      <c r="C411" s="16" t="s">
        <v>1218</v>
      </c>
      <c r="D411" s="16" t="s">
        <v>1219</v>
      </c>
      <c r="E411" s="16" t="s">
        <v>1220</v>
      </c>
      <c r="F411" s="16" t="s">
        <v>280</v>
      </c>
      <c r="G411" s="16" t="s">
        <v>1114</v>
      </c>
      <c r="H411" s="16" t="s">
        <v>190</v>
      </c>
    </row>
    <row r="412" spans="1:8" x14ac:dyDescent="0.25">
      <c r="A412" s="11" t="s">
        <v>275</v>
      </c>
      <c r="B412" s="16" t="s">
        <v>841</v>
      </c>
      <c r="C412" s="16" t="s">
        <v>1221</v>
      </c>
      <c r="D412" s="16" t="s">
        <v>1222</v>
      </c>
      <c r="E412" s="16" t="s">
        <v>1223</v>
      </c>
      <c r="F412" s="16" t="s">
        <v>280</v>
      </c>
      <c r="G412" s="16" t="s">
        <v>1114</v>
      </c>
      <c r="H412" s="16" t="s">
        <v>190</v>
      </c>
    </row>
    <row r="413" spans="1:8" x14ac:dyDescent="0.25">
      <c r="A413" s="11" t="s">
        <v>275</v>
      </c>
      <c r="B413" s="16" t="s">
        <v>841</v>
      </c>
      <c r="C413" s="16" t="s">
        <v>1224</v>
      </c>
      <c r="D413" s="16" t="s">
        <v>1225</v>
      </c>
      <c r="E413" s="16" t="s">
        <v>1226</v>
      </c>
      <c r="F413" s="16" t="s">
        <v>280</v>
      </c>
      <c r="G413" s="16" t="s">
        <v>1114</v>
      </c>
      <c r="H413" s="16" t="s">
        <v>190</v>
      </c>
    </row>
    <row r="414" spans="1:8" x14ac:dyDescent="0.25">
      <c r="A414" s="11" t="s">
        <v>275</v>
      </c>
      <c r="B414" s="16" t="s">
        <v>841</v>
      </c>
      <c r="C414" s="16" t="s">
        <v>1227</v>
      </c>
      <c r="D414" s="16" t="s">
        <v>1228</v>
      </c>
      <c r="E414" s="16" t="s">
        <v>1229</v>
      </c>
      <c r="F414" s="16" t="s">
        <v>280</v>
      </c>
      <c r="G414" s="16" t="s">
        <v>1114</v>
      </c>
      <c r="H414" s="16" t="s">
        <v>190</v>
      </c>
    </row>
    <row r="415" spans="1:8" x14ac:dyDescent="0.25">
      <c r="A415" s="11" t="s">
        <v>275</v>
      </c>
      <c r="B415" s="16" t="s">
        <v>841</v>
      </c>
      <c r="C415" s="16" t="s">
        <v>1230</v>
      </c>
      <c r="D415" s="16" t="s">
        <v>1231</v>
      </c>
      <c r="E415" s="16" t="s">
        <v>1232</v>
      </c>
      <c r="F415" s="16" t="s">
        <v>280</v>
      </c>
      <c r="G415" s="16" t="s">
        <v>1114</v>
      </c>
      <c r="H415" s="16" t="s">
        <v>190</v>
      </c>
    </row>
    <row r="416" spans="1:8" x14ac:dyDescent="0.25">
      <c r="A416" s="11" t="s">
        <v>275</v>
      </c>
      <c r="B416" s="16" t="s">
        <v>841</v>
      </c>
      <c r="C416" s="16" t="s">
        <v>1233</v>
      </c>
      <c r="D416" s="16" t="s">
        <v>1234</v>
      </c>
      <c r="E416" s="16" t="s">
        <v>1235</v>
      </c>
      <c r="F416" s="16" t="s">
        <v>280</v>
      </c>
      <c r="G416" s="16" t="s">
        <v>1114</v>
      </c>
      <c r="H416" s="16" t="s">
        <v>190</v>
      </c>
    </row>
    <row r="417" spans="1:8" x14ac:dyDescent="0.25">
      <c r="A417" s="11" t="s">
        <v>275</v>
      </c>
      <c r="B417" s="16" t="s">
        <v>841</v>
      </c>
      <c r="C417" s="16" t="s">
        <v>1236</v>
      </c>
      <c r="D417" s="16" t="s">
        <v>1237</v>
      </c>
      <c r="E417" s="16" t="s">
        <v>1238</v>
      </c>
      <c r="F417" s="16" t="s">
        <v>280</v>
      </c>
      <c r="G417" s="16" t="s">
        <v>1114</v>
      </c>
      <c r="H417" s="16" t="s">
        <v>190</v>
      </c>
    </row>
    <row r="418" spans="1:8" x14ac:dyDescent="0.25">
      <c r="A418" s="11" t="s">
        <v>275</v>
      </c>
      <c r="B418" s="16" t="s">
        <v>841</v>
      </c>
      <c r="C418" s="16" t="s">
        <v>1239</v>
      </c>
      <c r="D418" s="16" t="s">
        <v>1240</v>
      </c>
      <c r="E418" s="16" t="s">
        <v>1241</v>
      </c>
      <c r="F418" s="16" t="s">
        <v>280</v>
      </c>
      <c r="G418" s="16" t="s">
        <v>1114</v>
      </c>
      <c r="H418" s="16" t="s">
        <v>190</v>
      </c>
    </row>
    <row r="419" spans="1:8" x14ac:dyDescent="0.25">
      <c r="A419" s="11" t="s">
        <v>275</v>
      </c>
      <c r="B419" s="16" t="s">
        <v>841</v>
      </c>
      <c r="C419" s="16" t="s">
        <v>1242</v>
      </c>
      <c r="D419" s="16" t="s">
        <v>1243</v>
      </c>
      <c r="E419" s="16" t="s">
        <v>1244</v>
      </c>
      <c r="F419" s="16" t="s">
        <v>280</v>
      </c>
      <c r="G419" s="16" t="s">
        <v>1114</v>
      </c>
      <c r="H419" s="16" t="s">
        <v>190</v>
      </c>
    </row>
    <row r="420" spans="1:8" x14ac:dyDescent="0.25">
      <c r="A420" s="11" t="s">
        <v>275</v>
      </c>
      <c r="B420" s="16" t="s">
        <v>841</v>
      </c>
      <c r="C420" s="16" t="s">
        <v>1245</v>
      </c>
      <c r="D420" s="16" t="s">
        <v>1246</v>
      </c>
      <c r="E420" s="16" t="s">
        <v>1247</v>
      </c>
      <c r="F420" s="16" t="s">
        <v>280</v>
      </c>
      <c r="G420" s="16" t="s">
        <v>1114</v>
      </c>
      <c r="H420" s="16" t="s">
        <v>190</v>
      </c>
    </row>
    <row r="421" spans="1:8" x14ac:dyDescent="0.25">
      <c r="A421" s="11" t="s">
        <v>275</v>
      </c>
      <c r="B421" s="16" t="s">
        <v>841</v>
      </c>
      <c r="C421" s="16" t="s">
        <v>1248</v>
      </c>
      <c r="D421" s="16" t="s">
        <v>1249</v>
      </c>
      <c r="E421" s="16" t="s">
        <v>1250</v>
      </c>
      <c r="F421" s="16" t="s">
        <v>280</v>
      </c>
      <c r="G421" s="16" t="s">
        <v>1114</v>
      </c>
      <c r="H421" s="16" t="s">
        <v>190</v>
      </c>
    </row>
    <row r="422" spans="1:8" x14ac:dyDescent="0.25">
      <c r="A422" s="11" t="s">
        <v>275</v>
      </c>
      <c r="B422" s="16" t="s">
        <v>841</v>
      </c>
      <c r="C422" s="16" t="s">
        <v>1251</v>
      </c>
      <c r="D422" s="16" t="s">
        <v>1252</v>
      </c>
      <c r="E422" s="16" t="s">
        <v>1253</v>
      </c>
      <c r="F422" s="16" t="s">
        <v>280</v>
      </c>
      <c r="G422" s="16" t="s">
        <v>1114</v>
      </c>
      <c r="H422" s="16" t="s">
        <v>190</v>
      </c>
    </row>
    <row r="423" spans="1:8" x14ac:dyDescent="0.25">
      <c r="A423" s="11" t="s">
        <v>275</v>
      </c>
      <c r="B423" s="16" t="s">
        <v>841</v>
      </c>
      <c r="C423" s="16" t="s">
        <v>1254</v>
      </c>
      <c r="D423" s="16" t="s">
        <v>1255</v>
      </c>
      <c r="E423" s="16" t="s">
        <v>1256</v>
      </c>
      <c r="F423" s="16" t="s">
        <v>280</v>
      </c>
      <c r="G423" s="16" t="s">
        <v>1114</v>
      </c>
      <c r="H423" s="16" t="s">
        <v>190</v>
      </c>
    </row>
    <row r="424" spans="1:8" x14ac:dyDescent="0.25">
      <c r="A424" s="11" t="s">
        <v>275</v>
      </c>
      <c r="B424" s="16" t="s">
        <v>841</v>
      </c>
      <c r="C424" s="16" t="s">
        <v>1257</v>
      </c>
      <c r="D424" s="16" t="s">
        <v>1258</v>
      </c>
      <c r="E424" s="16" t="s">
        <v>1259</v>
      </c>
      <c r="F424" s="16" t="s">
        <v>280</v>
      </c>
      <c r="G424" s="16" t="s">
        <v>1114</v>
      </c>
      <c r="H424" s="16" t="s">
        <v>190</v>
      </c>
    </row>
    <row r="425" spans="1:8" x14ac:dyDescent="0.25">
      <c r="A425" s="11" t="s">
        <v>1260</v>
      </c>
      <c r="B425" s="16" t="s">
        <v>1261</v>
      </c>
      <c r="C425" s="16" t="s">
        <v>159</v>
      </c>
      <c r="D425" s="16" t="s">
        <v>1262</v>
      </c>
      <c r="E425" s="16" t="s">
        <v>1263</v>
      </c>
      <c r="F425" s="16" t="s">
        <v>1264</v>
      </c>
      <c r="G425" s="16" t="s">
        <v>1265</v>
      </c>
      <c r="H425" s="16" t="s">
        <v>190</v>
      </c>
    </row>
    <row r="426" spans="1:8" x14ac:dyDescent="0.25">
      <c r="A426" s="11" t="s">
        <v>1260</v>
      </c>
      <c r="B426" s="16" t="s">
        <v>1261</v>
      </c>
      <c r="C426" s="16" t="s">
        <v>160</v>
      </c>
      <c r="D426" s="16" t="s">
        <v>1266</v>
      </c>
      <c r="E426" s="16" t="s">
        <v>1267</v>
      </c>
      <c r="F426" s="16" t="s">
        <v>1264</v>
      </c>
      <c r="G426" s="16" t="s">
        <v>1265</v>
      </c>
      <c r="H426" s="16" t="s">
        <v>190</v>
      </c>
    </row>
    <row r="427" spans="1:8" x14ac:dyDescent="0.25">
      <c r="A427" s="11" t="s">
        <v>1260</v>
      </c>
      <c r="B427" s="16" t="s">
        <v>1261</v>
      </c>
      <c r="C427" s="16" t="s">
        <v>161</v>
      </c>
      <c r="D427" s="16" t="s">
        <v>1268</v>
      </c>
      <c r="E427" s="16" t="s">
        <v>1269</v>
      </c>
      <c r="F427" s="16" t="s">
        <v>1264</v>
      </c>
      <c r="G427" s="16" t="s">
        <v>1265</v>
      </c>
      <c r="H427" s="16" t="s">
        <v>190</v>
      </c>
    </row>
    <row r="428" spans="1:8" x14ac:dyDescent="0.25">
      <c r="A428" s="11" t="s">
        <v>1260</v>
      </c>
      <c r="B428" s="16" t="s">
        <v>1261</v>
      </c>
      <c r="C428" s="16" t="s">
        <v>162</v>
      </c>
      <c r="D428" s="16" t="s">
        <v>1270</v>
      </c>
      <c r="E428" s="16" t="s">
        <v>1271</v>
      </c>
      <c r="F428" s="16" t="s">
        <v>1264</v>
      </c>
      <c r="G428" s="16" t="s">
        <v>1265</v>
      </c>
      <c r="H428" s="16" t="s">
        <v>190</v>
      </c>
    </row>
    <row r="429" spans="1:8" x14ac:dyDescent="0.25">
      <c r="A429" s="11" t="s">
        <v>1260</v>
      </c>
      <c r="B429" s="16" t="s">
        <v>1261</v>
      </c>
      <c r="C429" s="16" t="s">
        <v>163</v>
      </c>
      <c r="D429" s="16" t="s">
        <v>1272</v>
      </c>
      <c r="E429" s="16" t="s">
        <v>1273</v>
      </c>
      <c r="F429" s="16" t="s">
        <v>1264</v>
      </c>
      <c r="G429" s="16" t="s">
        <v>1265</v>
      </c>
      <c r="H429" s="16" t="s">
        <v>190</v>
      </c>
    </row>
    <row r="430" spans="1:8" x14ac:dyDescent="0.25">
      <c r="A430" s="11" t="s">
        <v>1260</v>
      </c>
      <c r="B430" s="16" t="s">
        <v>1261</v>
      </c>
      <c r="C430" s="16" t="s">
        <v>1274</v>
      </c>
      <c r="D430" s="16" t="s">
        <v>1275</v>
      </c>
      <c r="E430" s="16" t="s">
        <v>1276</v>
      </c>
      <c r="F430" s="16" t="s">
        <v>1264</v>
      </c>
      <c r="G430" s="16" t="s">
        <v>1265</v>
      </c>
      <c r="H430" s="16" t="s">
        <v>190</v>
      </c>
    </row>
    <row r="431" spans="1:8" x14ac:dyDescent="0.25">
      <c r="A431" s="11" t="s">
        <v>1260</v>
      </c>
      <c r="B431" s="16" t="s">
        <v>1261</v>
      </c>
      <c r="C431" s="16" t="s">
        <v>1277</v>
      </c>
      <c r="D431" s="16" t="s">
        <v>1278</v>
      </c>
      <c r="E431" s="16" t="s">
        <v>1279</v>
      </c>
      <c r="F431" s="16" t="s">
        <v>1264</v>
      </c>
      <c r="G431" s="16" t="s">
        <v>1265</v>
      </c>
      <c r="H431" s="16" t="s">
        <v>190</v>
      </c>
    </row>
    <row r="432" spans="1:8" x14ac:dyDescent="0.25">
      <c r="A432" s="11" t="s">
        <v>1260</v>
      </c>
      <c r="B432" s="16" t="s">
        <v>1261</v>
      </c>
      <c r="C432" s="16" t="s">
        <v>1280</v>
      </c>
      <c r="D432" s="16" t="s">
        <v>1281</v>
      </c>
      <c r="E432" s="16" t="s">
        <v>1282</v>
      </c>
      <c r="F432" s="16" t="s">
        <v>1264</v>
      </c>
      <c r="G432" s="16" t="s">
        <v>1265</v>
      </c>
      <c r="H432" s="16" t="s">
        <v>190</v>
      </c>
    </row>
    <row r="433" spans="1:8" x14ac:dyDescent="0.25">
      <c r="A433" s="11" t="s">
        <v>1260</v>
      </c>
      <c r="B433" s="16" t="s">
        <v>1261</v>
      </c>
      <c r="C433" s="16" t="s">
        <v>1283</v>
      </c>
      <c r="D433" s="16" t="s">
        <v>1284</v>
      </c>
      <c r="E433" s="16" t="s">
        <v>1285</v>
      </c>
      <c r="F433" s="16" t="s">
        <v>1264</v>
      </c>
      <c r="G433" s="16" t="s">
        <v>1265</v>
      </c>
      <c r="H433" s="16" t="s">
        <v>190</v>
      </c>
    </row>
    <row r="434" spans="1:8" x14ac:dyDescent="0.25">
      <c r="A434" s="11" t="s">
        <v>1260</v>
      </c>
      <c r="B434" s="16" t="s">
        <v>1261</v>
      </c>
      <c r="C434" s="16" t="s">
        <v>164</v>
      </c>
      <c r="D434" s="16" t="s">
        <v>1286</v>
      </c>
      <c r="E434" s="16" t="s">
        <v>1287</v>
      </c>
      <c r="F434" s="16" t="s">
        <v>1264</v>
      </c>
      <c r="G434" s="16" t="s">
        <v>1265</v>
      </c>
      <c r="H434" s="16" t="s">
        <v>190</v>
      </c>
    </row>
    <row r="435" spans="1:8" x14ac:dyDescent="0.25">
      <c r="A435" s="11" t="s">
        <v>1260</v>
      </c>
      <c r="B435" s="16" t="s">
        <v>1261</v>
      </c>
      <c r="C435" s="16" t="s">
        <v>1288</v>
      </c>
      <c r="D435" s="16" t="s">
        <v>1289</v>
      </c>
      <c r="E435" s="16" t="s">
        <v>1290</v>
      </c>
      <c r="F435" s="16" t="s">
        <v>1264</v>
      </c>
      <c r="G435" s="16" t="s">
        <v>1265</v>
      </c>
      <c r="H435" s="16" t="s">
        <v>190</v>
      </c>
    </row>
    <row r="436" spans="1:8" x14ac:dyDescent="0.25">
      <c r="A436" s="11" t="s">
        <v>1260</v>
      </c>
      <c r="B436" s="16" t="s">
        <v>1261</v>
      </c>
      <c r="C436" s="16" t="s">
        <v>1291</v>
      </c>
      <c r="D436" s="16" t="s">
        <v>1292</v>
      </c>
      <c r="E436" s="16" t="s">
        <v>1271</v>
      </c>
      <c r="F436" s="16" t="s">
        <v>1264</v>
      </c>
      <c r="G436" s="16" t="s">
        <v>1265</v>
      </c>
      <c r="H436" s="16" t="s">
        <v>190</v>
      </c>
    </row>
    <row r="437" spans="1:8" x14ac:dyDescent="0.25">
      <c r="A437" s="11" t="s">
        <v>1260</v>
      </c>
      <c r="B437" s="16" t="s">
        <v>1261</v>
      </c>
      <c r="C437" s="16" t="s">
        <v>1293</v>
      </c>
      <c r="D437" s="16" t="s">
        <v>1294</v>
      </c>
      <c r="E437" s="16" t="s">
        <v>1295</v>
      </c>
      <c r="F437" s="16" t="s">
        <v>1264</v>
      </c>
      <c r="G437" s="16" t="s">
        <v>1265</v>
      </c>
      <c r="H437" s="16" t="s">
        <v>190</v>
      </c>
    </row>
    <row r="438" spans="1:8" x14ac:dyDescent="0.25">
      <c r="A438" s="11" t="s">
        <v>1260</v>
      </c>
      <c r="B438" s="16" t="s">
        <v>1261</v>
      </c>
      <c r="C438" s="16" t="s">
        <v>1296</v>
      </c>
      <c r="D438" s="16" t="s">
        <v>1297</v>
      </c>
      <c r="E438" s="16" t="s">
        <v>1298</v>
      </c>
      <c r="F438" s="16" t="s">
        <v>1264</v>
      </c>
      <c r="G438" s="16" t="s">
        <v>1265</v>
      </c>
      <c r="H438" s="16" t="s">
        <v>190</v>
      </c>
    </row>
    <row r="439" spans="1:8" x14ac:dyDescent="0.25">
      <c r="A439" s="11" t="s">
        <v>1260</v>
      </c>
      <c r="B439" s="16" t="s">
        <v>1261</v>
      </c>
      <c r="C439" s="16" t="s">
        <v>1299</v>
      </c>
      <c r="D439" s="16" t="s">
        <v>1300</v>
      </c>
      <c r="E439" s="16" t="s">
        <v>1301</v>
      </c>
      <c r="F439" s="16" t="s">
        <v>1264</v>
      </c>
      <c r="G439" s="16" t="s">
        <v>1265</v>
      </c>
      <c r="H439" s="16" t="s">
        <v>190</v>
      </c>
    </row>
    <row r="440" spans="1:8" x14ac:dyDescent="0.25">
      <c r="A440" s="11" t="s">
        <v>1260</v>
      </c>
      <c r="B440" s="16" t="s">
        <v>1261</v>
      </c>
      <c r="C440" s="16" t="s">
        <v>1302</v>
      </c>
      <c r="D440" s="16" t="s">
        <v>1303</v>
      </c>
      <c r="E440" s="16" t="s">
        <v>1304</v>
      </c>
      <c r="F440" s="16" t="s">
        <v>1264</v>
      </c>
      <c r="G440" s="16" t="s">
        <v>1265</v>
      </c>
      <c r="H440" s="16" t="s">
        <v>190</v>
      </c>
    </row>
    <row r="441" spans="1:8" x14ac:dyDescent="0.25">
      <c r="A441" s="11" t="s">
        <v>1260</v>
      </c>
      <c r="B441" s="16" t="s">
        <v>1261</v>
      </c>
      <c r="C441" s="16" t="s">
        <v>1305</v>
      </c>
      <c r="D441" s="16" t="s">
        <v>1306</v>
      </c>
      <c r="E441" s="16" t="s">
        <v>1307</v>
      </c>
      <c r="F441" s="16" t="s">
        <v>1264</v>
      </c>
      <c r="G441" s="16" t="s">
        <v>1265</v>
      </c>
      <c r="H441" s="16" t="s">
        <v>190</v>
      </c>
    </row>
    <row r="442" spans="1:8" x14ac:dyDescent="0.25">
      <c r="A442" s="11" t="s">
        <v>1260</v>
      </c>
      <c r="B442" s="16" t="s">
        <v>1261</v>
      </c>
      <c r="C442" s="16" t="s">
        <v>1308</v>
      </c>
      <c r="D442" s="16" t="s">
        <v>1309</v>
      </c>
      <c r="E442" s="16" t="s">
        <v>1310</v>
      </c>
      <c r="F442" s="16" t="s">
        <v>1264</v>
      </c>
      <c r="G442" s="16" t="s">
        <v>1265</v>
      </c>
      <c r="H442" s="16" t="s">
        <v>190</v>
      </c>
    </row>
    <row r="443" spans="1:8" x14ac:dyDescent="0.25">
      <c r="A443" s="11" t="s">
        <v>1260</v>
      </c>
      <c r="B443" s="16" t="s">
        <v>1261</v>
      </c>
      <c r="C443" s="16" t="s">
        <v>1311</v>
      </c>
      <c r="D443" s="16" t="s">
        <v>1312</v>
      </c>
      <c r="E443" s="16" t="s">
        <v>1313</v>
      </c>
      <c r="F443" s="16" t="s">
        <v>1264</v>
      </c>
      <c r="G443" s="16" t="s">
        <v>1265</v>
      </c>
      <c r="H443" s="16" t="s">
        <v>190</v>
      </c>
    </row>
    <row r="444" spans="1:8" x14ac:dyDescent="0.25">
      <c r="A444" s="11" t="s">
        <v>1260</v>
      </c>
      <c r="B444" s="16" t="s">
        <v>1261</v>
      </c>
      <c r="C444" s="16" t="s">
        <v>1314</v>
      </c>
      <c r="D444" s="16" t="s">
        <v>1315</v>
      </c>
      <c r="E444" s="16" t="s">
        <v>1316</v>
      </c>
      <c r="F444" s="16" t="s">
        <v>1264</v>
      </c>
      <c r="G444" s="16" t="s">
        <v>1265</v>
      </c>
      <c r="H444" s="16" t="s">
        <v>190</v>
      </c>
    </row>
    <row r="445" spans="1:8" x14ac:dyDescent="0.25">
      <c r="A445" s="11" t="s">
        <v>1260</v>
      </c>
      <c r="B445" s="16" t="s">
        <v>1261</v>
      </c>
      <c r="C445" s="16" t="s">
        <v>1317</v>
      </c>
      <c r="D445" s="16" t="s">
        <v>1318</v>
      </c>
      <c r="E445" s="16" t="s">
        <v>1319</v>
      </c>
      <c r="F445" s="16" t="s">
        <v>1264</v>
      </c>
      <c r="G445" s="16" t="s">
        <v>1265</v>
      </c>
      <c r="H445" s="16" t="s">
        <v>190</v>
      </c>
    </row>
    <row r="446" spans="1:8" x14ac:dyDescent="0.25">
      <c r="A446" s="11" t="s">
        <v>1260</v>
      </c>
      <c r="B446" s="16" t="s">
        <v>1261</v>
      </c>
      <c r="C446" s="16" t="s">
        <v>1320</v>
      </c>
      <c r="D446" s="16" t="s">
        <v>1321</v>
      </c>
      <c r="E446" s="16" t="s">
        <v>1322</v>
      </c>
      <c r="F446" s="16" t="s">
        <v>1264</v>
      </c>
      <c r="G446" s="16" t="s">
        <v>1265</v>
      </c>
      <c r="H446" s="16" t="s">
        <v>190</v>
      </c>
    </row>
    <row r="447" spans="1:8" x14ac:dyDescent="0.25">
      <c r="A447" s="11" t="s">
        <v>1260</v>
      </c>
      <c r="B447" s="16" t="s">
        <v>1261</v>
      </c>
      <c r="C447" s="16" t="s">
        <v>1323</v>
      </c>
      <c r="D447" s="16" t="s">
        <v>1324</v>
      </c>
      <c r="E447" s="16" t="s">
        <v>1325</v>
      </c>
      <c r="F447" s="16" t="s">
        <v>1264</v>
      </c>
      <c r="G447" s="16" t="s">
        <v>1265</v>
      </c>
      <c r="H447" s="16" t="s">
        <v>190</v>
      </c>
    </row>
    <row r="448" spans="1:8" x14ac:dyDescent="0.25">
      <c r="A448" s="11" t="s">
        <v>1260</v>
      </c>
      <c r="B448" s="16" t="s">
        <v>1261</v>
      </c>
      <c r="C448" s="16" t="s">
        <v>1326</v>
      </c>
      <c r="D448" s="16" t="s">
        <v>1327</v>
      </c>
      <c r="E448" s="16" t="s">
        <v>1328</v>
      </c>
      <c r="F448" s="16" t="s">
        <v>1264</v>
      </c>
      <c r="G448" s="16" t="s">
        <v>1265</v>
      </c>
      <c r="H448" s="16" t="s">
        <v>190</v>
      </c>
    </row>
    <row r="449" spans="1:8" x14ac:dyDescent="0.25">
      <c r="A449" s="11" t="s">
        <v>1260</v>
      </c>
      <c r="B449" s="16" t="s">
        <v>1261</v>
      </c>
      <c r="C449" s="16" t="s">
        <v>1329</v>
      </c>
      <c r="D449" s="16" t="s">
        <v>1330</v>
      </c>
      <c r="E449" s="16" t="s">
        <v>1331</v>
      </c>
      <c r="F449" s="16" t="s">
        <v>1264</v>
      </c>
      <c r="G449" s="16" t="s">
        <v>1265</v>
      </c>
      <c r="H449" s="16" t="s">
        <v>190</v>
      </c>
    </row>
    <row r="450" spans="1:8" x14ac:dyDescent="0.25">
      <c r="A450" s="11" t="s">
        <v>1260</v>
      </c>
      <c r="B450" s="16" t="s">
        <v>1261</v>
      </c>
      <c r="C450" s="16" t="s">
        <v>1332</v>
      </c>
      <c r="D450" s="16" t="s">
        <v>1333</v>
      </c>
      <c r="E450" s="16" t="s">
        <v>1334</v>
      </c>
      <c r="F450" s="16" t="s">
        <v>1264</v>
      </c>
      <c r="G450" s="16" t="s">
        <v>1265</v>
      </c>
      <c r="H450" s="16" t="s">
        <v>190</v>
      </c>
    </row>
    <row r="451" spans="1:8" x14ac:dyDescent="0.25">
      <c r="A451" s="11" t="s">
        <v>1260</v>
      </c>
      <c r="B451" s="16" t="s">
        <v>1261</v>
      </c>
      <c r="C451" s="16" t="s">
        <v>1335</v>
      </c>
      <c r="D451" s="16" t="s">
        <v>1336</v>
      </c>
      <c r="E451" s="16" t="s">
        <v>1337</v>
      </c>
      <c r="F451" s="16" t="s">
        <v>1264</v>
      </c>
      <c r="G451" s="16" t="s">
        <v>1265</v>
      </c>
      <c r="H451" s="16" t="s">
        <v>190</v>
      </c>
    </row>
    <row r="452" spans="1:8" x14ac:dyDescent="0.25">
      <c r="A452" s="11" t="s">
        <v>1260</v>
      </c>
      <c r="B452" s="16" t="s">
        <v>1261</v>
      </c>
      <c r="C452" s="16" t="s">
        <v>1338</v>
      </c>
      <c r="D452" s="16" t="s">
        <v>1339</v>
      </c>
      <c r="E452" s="16" t="s">
        <v>1340</v>
      </c>
      <c r="F452" s="16" t="s">
        <v>1264</v>
      </c>
      <c r="G452" s="16" t="s">
        <v>1265</v>
      </c>
      <c r="H452" s="16" t="s">
        <v>190</v>
      </c>
    </row>
    <row r="453" spans="1:8" x14ac:dyDescent="0.25">
      <c r="A453" s="11" t="s">
        <v>1260</v>
      </c>
      <c r="B453" s="16" t="s">
        <v>1261</v>
      </c>
      <c r="C453" s="16" t="s">
        <v>1341</v>
      </c>
      <c r="D453" s="16" t="s">
        <v>1342</v>
      </c>
      <c r="E453" s="16" t="s">
        <v>1343</v>
      </c>
      <c r="F453" s="16" t="s">
        <v>1264</v>
      </c>
      <c r="G453" s="16" t="s">
        <v>1265</v>
      </c>
      <c r="H453" s="16" t="s">
        <v>190</v>
      </c>
    </row>
    <row r="454" spans="1:8" x14ac:dyDescent="0.25">
      <c r="A454" s="11" t="s">
        <v>1260</v>
      </c>
      <c r="B454" s="16" t="s">
        <v>1261</v>
      </c>
      <c r="C454" s="16" t="s">
        <v>1344</v>
      </c>
      <c r="D454" s="16" t="s">
        <v>1345</v>
      </c>
      <c r="E454" s="16" t="s">
        <v>1346</v>
      </c>
      <c r="F454" s="16" t="s">
        <v>1264</v>
      </c>
      <c r="G454" s="16" t="s">
        <v>1265</v>
      </c>
      <c r="H454" s="16" t="s">
        <v>190</v>
      </c>
    </row>
    <row r="455" spans="1:8" x14ac:dyDescent="0.25">
      <c r="A455" s="11" t="s">
        <v>1260</v>
      </c>
      <c r="B455" s="16" t="s">
        <v>1261</v>
      </c>
      <c r="C455" s="16" t="s">
        <v>1347</v>
      </c>
      <c r="D455" s="16" t="s">
        <v>1348</v>
      </c>
      <c r="E455" s="16" t="s">
        <v>1349</v>
      </c>
      <c r="F455" s="16" t="s">
        <v>1264</v>
      </c>
      <c r="G455" s="16" t="s">
        <v>1265</v>
      </c>
      <c r="H455" s="16" t="s">
        <v>190</v>
      </c>
    </row>
    <row r="456" spans="1:8" x14ac:dyDescent="0.25">
      <c r="A456" s="11" t="s">
        <v>1260</v>
      </c>
      <c r="B456" s="16" t="s">
        <v>1261</v>
      </c>
      <c r="C456" s="16" t="s">
        <v>1350</v>
      </c>
      <c r="D456" s="16" t="s">
        <v>1351</v>
      </c>
      <c r="E456" s="16" t="s">
        <v>1352</v>
      </c>
      <c r="F456" s="16" t="s">
        <v>1264</v>
      </c>
      <c r="G456" s="16" t="s">
        <v>1265</v>
      </c>
      <c r="H456" s="16" t="s">
        <v>190</v>
      </c>
    </row>
    <row r="457" spans="1:8" x14ac:dyDescent="0.25">
      <c r="A457" s="11" t="s">
        <v>1260</v>
      </c>
      <c r="B457" s="16" t="s">
        <v>1261</v>
      </c>
      <c r="C457" s="16" t="s">
        <v>1353</v>
      </c>
      <c r="D457" s="16" t="s">
        <v>1354</v>
      </c>
      <c r="E457" s="16" t="s">
        <v>1355</v>
      </c>
      <c r="F457" s="16" t="s">
        <v>1264</v>
      </c>
      <c r="G457" s="16" t="s">
        <v>1265</v>
      </c>
      <c r="H457" s="16" t="s">
        <v>190</v>
      </c>
    </row>
    <row r="458" spans="1:8" x14ac:dyDescent="0.25">
      <c r="A458" s="11" t="s">
        <v>1260</v>
      </c>
      <c r="B458" s="16" t="s">
        <v>1261</v>
      </c>
      <c r="C458" s="16" t="s">
        <v>1356</v>
      </c>
      <c r="D458" s="16" t="s">
        <v>1357</v>
      </c>
      <c r="E458" s="16" t="s">
        <v>1358</v>
      </c>
      <c r="F458" s="16" t="s">
        <v>1264</v>
      </c>
      <c r="G458" s="16" t="s">
        <v>1265</v>
      </c>
      <c r="H458" s="16" t="s">
        <v>190</v>
      </c>
    </row>
    <row r="459" spans="1:8" x14ac:dyDescent="0.25">
      <c r="A459" s="11" t="s">
        <v>1260</v>
      </c>
      <c r="B459" s="16" t="s">
        <v>1261</v>
      </c>
      <c r="C459" s="16" t="s">
        <v>1359</v>
      </c>
      <c r="D459" s="16" t="s">
        <v>1360</v>
      </c>
      <c r="E459" s="16" t="s">
        <v>1361</v>
      </c>
      <c r="F459" s="16" t="s">
        <v>1264</v>
      </c>
      <c r="G459" s="16" t="s">
        <v>1265</v>
      </c>
      <c r="H459" s="16" t="s">
        <v>190</v>
      </c>
    </row>
    <row r="460" spans="1:8" x14ac:dyDescent="0.25">
      <c r="A460" s="11" t="s">
        <v>1260</v>
      </c>
      <c r="B460" s="16" t="s">
        <v>1261</v>
      </c>
      <c r="C460" s="16" t="s">
        <v>1362</v>
      </c>
      <c r="D460" s="16" t="s">
        <v>1363</v>
      </c>
      <c r="E460" s="16" t="s">
        <v>1364</v>
      </c>
      <c r="F460" s="16" t="s">
        <v>1264</v>
      </c>
      <c r="G460" s="16" t="s">
        <v>1265</v>
      </c>
      <c r="H460" s="16" t="s">
        <v>190</v>
      </c>
    </row>
    <row r="461" spans="1:8" x14ac:dyDescent="0.25">
      <c r="A461" s="11" t="s">
        <v>1260</v>
      </c>
      <c r="B461" s="16" t="s">
        <v>1261</v>
      </c>
      <c r="C461" s="16" t="s">
        <v>1365</v>
      </c>
      <c r="D461" s="16" t="s">
        <v>1366</v>
      </c>
      <c r="E461" s="16" t="s">
        <v>1367</v>
      </c>
      <c r="F461" s="16" t="s">
        <v>1264</v>
      </c>
      <c r="G461" s="16" t="s">
        <v>1265</v>
      </c>
      <c r="H461" s="16" t="s">
        <v>190</v>
      </c>
    </row>
    <row r="462" spans="1:8" x14ac:dyDescent="0.25">
      <c r="A462" s="11" t="s">
        <v>1260</v>
      </c>
      <c r="B462" s="16" t="s">
        <v>1261</v>
      </c>
      <c r="C462" s="16" t="s">
        <v>1368</v>
      </c>
      <c r="D462" s="16" t="s">
        <v>1369</v>
      </c>
      <c r="E462" s="16" t="s">
        <v>1370</v>
      </c>
      <c r="F462" s="16" t="s">
        <v>1264</v>
      </c>
      <c r="G462" s="16" t="s">
        <v>1265</v>
      </c>
      <c r="H462" s="16" t="s">
        <v>190</v>
      </c>
    </row>
    <row r="463" spans="1:8" x14ac:dyDescent="0.25">
      <c r="A463" s="11" t="s">
        <v>1260</v>
      </c>
      <c r="B463" s="16" t="s">
        <v>1261</v>
      </c>
      <c r="C463" s="16" t="s">
        <v>1371</v>
      </c>
      <c r="D463" s="16" t="s">
        <v>1372</v>
      </c>
      <c r="E463" s="16" t="s">
        <v>1373</v>
      </c>
      <c r="F463" s="16" t="s">
        <v>1264</v>
      </c>
      <c r="G463" s="16" t="s">
        <v>1265</v>
      </c>
      <c r="H463" s="16" t="s">
        <v>190</v>
      </c>
    </row>
    <row r="464" spans="1:8" x14ac:dyDescent="0.25">
      <c r="A464" s="11" t="s">
        <v>1260</v>
      </c>
      <c r="B464" s="16" t="s">
        <v>1261</v>
      </c>
      <c r="C464" s="16" t="s">
        <v>1374</v>
      </c>
      <c r="D464" s="16" t="s">
        <v>1375</v>
      </c>
      <c r="E464" s="16" t="s">
        <v>1376</v>
      </c>
      <c r="F464" s="16" t="s">
        <v>1264</v>
      </c>
      <c r="G464" s="16" t="s">
        <v>1265</v>
      </c>
      <c r="H464" s="16" t="s">
        <v>190</v>
      </c>
    </row>
    <row r="465" spans="1:8" x14ac:dyDescent="0.25">
      <c r="A465" s="11" t="s">
        <v>1260</v>
      </c>
      <c r="B465" s="16" t="s">
        <v>1261</v>
      </c>
      <c r="C465" s="16" t="s">
        <v>1377</v>
      </c>
      <c r="D465" s="16" t="s">
        <v>1378</v>
      </c>
      <c r="E465" s="16" t="s">
        <v>1379</v>
      </c>
      <c r="F465" s="16" t="s">
        <v>1264</v>
      </c>
      <c r="G465" s="16" t="s">
        <v>1265</v>
      </c>
      <c r="H465" s="16" t="s">
        <v>190</v>
      </c>
    </row>
    <row r="466" spans="1:8" x14ac:dyDescent="0.25">
      <c r="A466" s="11" t="s">
        <v>1260</v>
      </c>
      <c r="B466" s="16" t="s">
        <v>1261</v>
      </c>
      <c r="C466" s="16" t="s">
        <v>1380</v>
      </c>
      <c r="D466" s="16" t="s">
        <v>1381</v>
      </c>
      <c r="E466" s="16" t="s">
        <v>1382</v>
      </c>
      <c r="F466" s="16" t="s">
        <v>1264</v>
      </c>
      <c r="G466" s="16" t="s">
        <v>1265</v>
      </c>
      <c r="H466" s="16" t="s">
        <v>190</v>
      </c>
    </row>
    <row r="467" spans="1:8" x14ac:dyDescent="0.25">
      <c r="A467" s="11" t="s">
        <v>1260</v>
      </c>
      <c r="B467" s="16" t="s">
        <v>1261</v>
      </c>
      <c r="C467" s="16" t="s">
        <v>1383</v>
      </c>
      <c r="D467" s="16" t="s">
        <v>1384</v>
      </c>
      <c r="E467" s="16" t="s">
        <v>1385</v>
      </c>
      <c r="F467" s="16" t="s">
        <v>1264</v>
      </c>
      <c r="G467" s="16" t="s">
        <v>1265</v>
      </c>
      <c r="H467" s="16" t="s">
        <v>190</v>
      </c>
    </row>
    <row r="468" spans="1:8" x14ac:dyDescent="0.25">
      <c r="A468" s="11" t="s">
        <v>1260</v>
      </c>
      <c r="B468" s="16" t="s">
        <v>1261</v>
      </c>
      <c r="C468" s="16" t="s">
        <v>1386</v>
      </c>
      <c r="D468" s="16" t="s">
        <v>1387</v>
      </c>
      <c r="E468" s="16" t="s">
        <v>1388</v>
      </c>
      <c r="F468" s="16" t="s">
        <v>1264</v>
      </c>
      <c r="G468" s="16" t="s">
        <v>1265</v>
      </c>
      <c r="H468" s="16" t="s">
        <v>190</v>
      </c>
    </row>
    <row r="469" spans="1:8" x14ac:dyDescent="0.25">
      <c r="A469" s="11" t="s">
        <v>1260</v>
      </c>
      <c r="B469" s="16" t="s">
        <v>1261</v>
      </c>
      <c r="C469" s="16" t="s">
        <v>1389</v>
      </c>
      <c r="D469" s="16" t="s">
        <v>1390</v>
      </c>
      <c r="E469" s="16" t="s">
        <v>1391</v>
      </c>
      <c r="F469" s="16" t="s">
        <v>1264</v>
      </c>
      <c r="G469" s="16" t="s">
        <v>1265</v>
      </c>
      <c r="H469" s="16" t="s">
        <v>190</v>
      </c>
    </row>
    <row r="470" spans="1:8" x14ac:dyDescent="0.25">
      <c r="A470" s="11" t="s">
        <v>1260</v>
      </c>
      <c r="B470" s="16" t="s">
        <v>1261</v>
      </c>
      <c r="C470" s="16" t="s">
        <v>1392</v>
      </c>
      <c r="D470" s="16" t="s">
        <v>1393</v>
      </c>
      <c r="E470" s="16" t="s">
        <v>1394</v>
      </c>
      <c r="F470" s="16" t="s">
        <v>1264</v>
      </c>
      <c r="G470" s="16" t="s">
        <v>1265</v>
      </c>
      <c r="H470" s="16" t="s">
        <v>190</v>
      </c>
    </row>
    <row r="471" spans="1:8" x14ac:dyDescent="0.25">
      <c r="A471" s="11" t="s">
        <v>1260</v>
      </c>
      <c r="B471" s="16" t="s">
        <v>1261</v>
      </c>
      <c r="C471" s="16" t="s">
        <v>1395</v>
      </c>
      <c r="D471" s="16" t="s">
        <v>1396</v>
      </c>
      <c r="E471" s="16" t="s">
        <v>1397</v>
      </c>
      <c r="F471" s="16" t="s">
        <v>1264</v>
      </c>
      <c r="G471" s="16" t="s">
        <v>1265</v>
      </c>
      <c r="H471" s="16" t="s">
        <v>190</v>
      </c>
    </row>
    <row r="472" spans="1:8" x14ac:dyDescent="0.25">
      <c r="A472" s="11" t="s">
        <v>1260</v>
      </c>
      <c r="B472" s="16" t="s">
        <v>1261</v>
      </c>
      <c r="C472" s="16" t="s">
        <v>1398</v>
      </c>
      <c r="D472" s="16" t="s">
        <v>1399</v>
      </c>
      <c r="E472" s="16" t="s">
        <v>1400</v>
      </c>
      <c r="F472" s="16" t="s">
        <v>1264</v>
      </c>
      <c r="G472" s="16" t="s">
        <v>1265</v>
      </c>
      <c r="H472" s="16" t="s">
        <v>190</v>
      </c>
    </row>
    <row r="473" spans="1:8" x14ac:dyDescent="0.25">
      <c r="A473" s="11" t="s">
        <v>1260</v>
      </c>
      <c r="B473" s="16" t="s">
        <v>1261</v>
      </c>
      <c r="C473" s="16" t="s">
        <v>1401</v>
      </c>
      <c r="D473" s="16" t="s">
        <v>1402</v>
      </c>
      <c r="E473" s="16" t="s">
        <v>1403</v>
      </c>
      <c r="F473" s="16" t="s">
        <v>1264</v>
      </c>
      <c r="G473" s="16" t="s">
        <v>1265</v>
      </c>
      <c r="H473" s="16" t="s">
        <v>190</v>
      </c>
    </row>
    <row r="474" spans="1:8" x14ac:dyDescent="0.25">
      <c r="A474" s="11" t="s">
        <v>1260</v>
      </c>
      <c r="B474" s="16" t="s">
        <v>1261</v>
      </c>
      <c r="C474" s="16" t="s">
        <v>1404</v>
      </c>
      <c r="D474" s="16" t="s">
        <v>1405</v>
      </c>
      <c r="E474" s="16" t="s">
        <v>1406</v>
      </c>
      <c r="F474" s="16" t="s">
        <v>1264</v>
      </c>
      <c r="G474" s="16" t="s">
        <v>1265</v>
      </c>
      <c r="H474" s="16" t="s">
        <v>190</v>
      </c>
    </row>
    <row r="475" spans="1:8" x14ac:dyDescent="0.25">
      <c r="A475" s="11" t="s">
        <v>266</v>
      </c>
      <c r="B475" s="16" t="s">
        <v>1407</v>
      </c>
      <c r="C475" s="16" t="s">
        <v>165</v>
      </c>
      <c r="D475" s="16" t="s">
        <v>1408</v>
      </c>
      <c r="E475" s="16" t="s">
        <v>1409</v>
      </c>
      <c r="F475" s="16" t="s">
        <v>1410</v>
      </c>
      <c r="G475" s="16" t="s">
        <v>1411</v>
      </c>
      <c r="H475" s="16" t="s">
        <v>190</v>
      </c>
    </row>
    <row r="476" spans="1:8" x14ac:dyDescent="0.25">
      <c r="A476" s="11" t="s">
        <v>266</v>
      </c>
      <c r="B476" s="16" t="s">
        <v>1407</v>
      </c>
      <c r="C476" s="16" t="s">
        <v>166</v>
      </c>
      <c r="D476" s="16" t="s">
        <v>1412</v>
      </c>
      <c r="E476" s="16" t="s">
        <v>1413</v>
      </c>
      <c r="F476" s="16" t="s">
        <v>1410</v>
      </c>
      <c r="G476" s="16" t="s">
        <v>1411</v>
      </c>
      <c r="H476" s="16" t="s">
        <v>190</v>
      </c>
    </row>
    <row r="477" spans="1:8" x14ac:dyDescent="0.25">
      <c r="A477" s="11" t="s">
        <v>266</v>
      </c>
      <c r="B477" s="16" t="s">
        <v>1407</v>
      </c>
      <c r="C477" s="16" t="s">
        <v>167</v>
      </c>
      <c r="D477" s="16" t="s">
        <v>1414</v>
      </c>
      <c r="E477" s="16" t="s">
        <v>1415</v>
      </c>
      <c r="F477" s="16" t="s">
        <v>1410</v>
      </c>
      <c r="G477" s="16" t="s">
        <v>1411</v>
      </c>
      <c r="H477" s="16" t="s">
        <v>190</v>
      </c>
    </row>
    <row r="478" spans="1:8" x14ac:dyDescent="0.25">
      <c r="A478" s="11" t="s">
        <v>266</v>
      </c>
      <c r="B478" s="16" t="s">
        <v>1407</v>
      </c>
      <c r="C478" s="16" t="s">
        <v>168</v>
      </c>
      <c r="D478" s="16" t="s">
        <v>1416</v>
      </c>
      <c r="E478" s="16" t="s">
        <v>1417</v>
      </c>
      <c r="F478" s="16" t="s">
        <v>1410</v>
      </c>
      <c r="G478" s="16" t="s">
        <v>1411</v>
      </c>
      <c r="H478" s="16" t="s">
        <v>190</v>
      </c>
    </row>
    <row r="479" spans="1:8" x14ac:dyDescent="0.25">
      <c r="A479" s="11" t="s">
        <v>266</v>
      </c>
      <c r="B479" s="16" t="s">
        <v>1407</v>
      </c>
      <c r="C479" s="16" t="s">
        <v>169</v>
      </c>
      <c r="D479" s="16" t="s">
        <v>1418</v>
      </c>
      <c r="E479" s="16" t="s">
        <v>1419</v>
      </c>
      <c r="F479" s="16" t="s">
        <v>1410</v>
      </c>
      <c r="G479" s="16" t="s">
        <v>1411</v>
      </c>
      <c r="H479" s="16" t="s">
        <v>190</v>
      </c>
    </row>
    <row r="480" spans="1:8" x14ac:dyDescent="0.25">
      <c r="A480" s="11" t="s">
        <v>266</v>
      </c>
      <c r="B480" s="16" t="s">
        <v>1407</v>
      </c>
      <c r="C480" s="16" t="s">
        <v>1420</v>
      </c>
      <c r="D480" s="16" t="s">
        <v>1421</v>
      </c>
      <c r="E480" s="16" t="s">
        <v>1422</v>
      </c>
      <c r="F480" s="16" t="s">
        <v>1410</v>
      </c>
      <c r="G480" s="16" t="s">
        <v>1411</v>
      </c>
      <c r="H480" s="16" t="s">
        <v>190</v>
      </c>
    </row>
    <row r="481" spans="1:8" x14ac:dyDescent="0.25">
      <c r="A481" s="11" t="s">
        <v>266</v>
      </c>
      <c r="B481" s="16" t="s">
        <v>1407</v>
      </c>
      <c r="C481" s="16" t="s">
        <v>1423</v>
      </c>
      <c r="D481" s="16" t="s">
        <v>1424</v>
      </c>
      <c r="E481" s="16" t="s">
        <v>1425</v>
      </c>
      <c r="F481" s="16" t="s">
        <v>1410</v>
      </c>
      <c r="G481" s="16" t="s">
        <v>1411</v>
      </c>
      <c r="H481" s="16" t="s">
        <v>190</v>
      </c>
    </row>
    <row r="482" spans="1:8" x14ac:dyDescent="0.25">
      <c r="A482" s="11" t="s">
        <v>266</v>
      </c>
      <c r="B482" s="16" t="s">
        <v>1407</v>
      </c>
      <c r="C482" s="16" t="s">
        <v>170</v>
      </c>
      <c r="D482" s="16" t="s">
        <v>1426</v>
      </c>
      <c r="E482" s="16" t="s">
        <v>1427</v>
      </c>
      <c r="F482" s="16" t="s">
        <v>1410</v>
      </c>
      <c r="G482" s="16" t="s">
        <v>1411</v>
      </c>
      <c r="H482" s="16" t="s">
        <v>190</v>
      </c>
    </row>
    <row r="483" spans="1:8" x14ac:dyDescent="0.25">
      <c r="A483" s="11" t="s">
        <v>266</v>
      </c>
      <c r="B483" s="16" t="s">
        <v>1407</v>
      </c>
      <c r="C483" s="16" t="s">
        <v>1428</v>
      </c>
      <c r="D483" s="16" t="s">
        <v>1429</v>
      </c>
      <c r="E483" s="16" t="s">
        <v>1430</v>
      </c>
      <c r="F483" s="16" t="s">
        <v>1410</v>
      </c>
      <c r="G483" s="16" t="s">
        <v>1411</v>
      </c>
      <c r="H483" s="16" t="s">
        <v>190</v>
      </c>
    </row>
    <row r="484" spans="1:8" x14ac:dyDescent="0.25">
      <c r="A484" s="11" t="s">
        <v>266</v>
      </c>
      <c r="B484" s="16" t="s">
        <v>1407</v>
      </c>
      <c r="C484" s="16" t="s">
        <v>1431</v>
      </c>
      <c r="D484" s="16" t="s">
        <v>1432</v>
      </c>
      <c r="E484" s="16" t="s">
        <v>1433</v>
      </c>
      <c r="F484" s="16" t="s">
        <v>1410</v>
      </c>
      <c r="G484" s="16" t="s">
        <v>1411</v>
      </c>
      <c r="H484" s="16" t="s">
        <v>190</v>
      </c>
    </row>
    <row r="485" spans="1:8" x14ac:dyDescent="0.25">
      <c r="A485" s="11" t="s">
        <v>266</v>
      </c>
      <c r="B485" s="16" t="s">
        <v>1407</v>
      </c>
      <c r="C485" s="16" t="s">
        <v>1434</v>
      </c>
      <c r="D485" s="16" t="s">
        <v>1435</v>
      </c>
      <c r="E485" s="16" t="s">
        <v>1436</v>
      </c>
      <c r="F485" s="16" t="s">
        <v>1410</v>
      </c>
      <c r="G485" s="16" t="s">
        <v>1411</v>
      </c>
      <c r="H485" s="16" t="s">
        <v>190</v>
      </c>
    </row>
    <row r="486" spans="1:8" x14ac:dyDescent="0.25">
      <c r="A486" s="11" t="s">
        <v>266</v>
      </c>
      <c r="B486" s="16" t="s">
        <v>1407</v>
      </c>
      <c r="C486" s="16" t="s">
        <v>1437</v>
      </c>
      <c r="D486" s="16" t="s">
        <v>1438</v>
      </c>
      <c r="E486" s="16" t="s">
        <v>1439</v>
      </c>
      <c r="F486" s="16" t="s">
        <v>1410</v>
      </c>
      <c r="G486" s="16" t="s">
        <v>1411</v>
      </c>
      <c r="H486" s="16" t="s">
        <v>190</v>
      </c>
    </row>
    <row r="487" spans="1:8" x14ac:dyDescent="0.25">
      <c r="A487" s="11" t="s">
        <v>266</v>
      </c>
      <c r="B487" s="16" t="s">
        <v>1407</v>
      </c>
      <c r="C487" s="16" t="s">
        <v>1440</v>
      </c>
      <c r="D487" s="16" t="s">
        <v>1441</v>
      </c>
      <c r="E487" s="16" t="s">
        <v>1442</v>
      </c>
      <c r="F487" s="16" t="s">
        <v>1410</v>
      </c>
      <c r="G487" s="16" t="s">
        <v>1411</v>
      </c>
      <c r="H487" s="16" t="s">
        <v>190</v>
      </c>
    </row>
    <row r="488" spans="1:8" x14ac:dyDescent="0.25">
      <c r="A488" s="11" t="s">
        <v>266</v>
      </c>
      <c r="B488" s="16" t="s">
        <v>1407</v>
      </c>
      <c r="C488" s="16" t="s">
        <v>1443</v>
      </c>
      <c r="D488" s="16" t="s">
        <v>1444</v>
      </c>
      <c r="E488" s="16" t="s">
        <v>1445</v>
      </c>
      <c r="F488" s="16" t="s">
        <v>1410</v>
      </c>
      <c r="G488" s="16" t="s">
        <v>1411</v>
      </c>
      <c r="H488" s="16" t="s">
        <v>190</v>
      </c>
    </row>
    <row r="489" spans="1:8" x14ac:dyDescent="0.25">
      <c r="A489" s="11" t="s">
        <v>266</v>
      </c>
      <c r="B489" s="16" t="s">
        <v>1407</v>
      </c>
      <c r="C489" s="16" t="s">
        <v>1446</v>
      </c>
      <c r="D489" s="16" t="s">
        <v>1447</v>
      </c>
      <c r="E489" s="16" t="s">
        <v>1448</v>
      </c>
      <c r="F489" s="16" t="s">
        <v>1410</v>
      </c>
      <c r="G489" s="16" t="s">
        <v>1411</v>
      </c>
      <c r="H489" s="16" t="s">
        <v>190</v>
      </c>
    </row>
    <row r="490" spans="1:8" x14ac:dyDescent="0.25">
      <c r="A490" s="11" t="s">
        <v>266</v>
      </c>
      <c r="B490" s="16" t="s">
        <v>1407</v>
      </c>
      <c r="C490" s="16" t="s">
        <v>1449</v>
      </c>
      <c r="D490" s="16" t="s">
        <v>1450</v>
      </c>
      <c r="E490" s="16" t="s">
        <v>1451</v>
      </c>
      <c r="F490" s="16" t="s">
        <v>1410</v>
      </c>
      <c r="G490" s="16" t="s">
        <v>1411</v>
      </c>
      <c r="H490" s="16" t="s">
        <v>190</v>
      </c>
    </row>
    <row r="491" spans="1:8" x14ac:dyDescent="0.25">
      <c r="A491" s="11" t="s">
        <v>266</v>
      </c>
      <c r="B491" s="16" t="s">
        <v>1407</v>
      </c>
      <c r="C491" s="16" t="s">
        <v>171</v>
      </c>
      <c r="D491" s="16" t="s">
        <v>1452</v>
      </c>
      <c r="E491" s="16" t="s">
        <v>1453</v>
      </c>
      <c r="F491" s="16" t="s">
        <v>1410</v>
      </c>
      <c r="G491" s="16" t="s">
        <v>1411</v>
      </c>
      <c r="H491" s="16" t="s">
        <v>190</v>
      </c>
    </row>
    <row r="492" spans="1:8" x14ac:dyDescent="0.25">
      <c r="A492" s="11" t="s">
        <v>266</v>
      </c>
      <c r="B492" s="16" t="s">
        <v>1407</v>
      </c>
      <c r="C492" s="16" t="s">
        <v>1454</v>
      </c>
      <c r="D492" s="16" t="s">
        <v>1455</v>
      </c>
      <c r="E492" s="16" t="s">
        <v>1456</v>
      </c>
      <c r="F492" s="16" t="s">
        <v>1410</v>
      </c>
      <c r="G492" s="16" t="s">
        <v>1411</v>
      </c>
      <c r="H492" s="16" t="s">
        <v>190</v>
      </c>
    </row>
    <row r="493" spans="1:8" x14ac:dyDescent="0.25">
      <c r="A493" s="11" t="s">
        <v>266</v>
      </c>
      <c r="B493" s="16" t="s">
        <v>1407</v>
      </c>
      <c r="C493" s="16" t="s">
        <v>1457</v>
      </c>
      <c r="D493" s="16" t="s">
        <v>1458</v>
      </c>
      <c r="E493" s="16" t="s">
        <v>1459</v>
      </c>
      <c r="F493" s="16" t="s">
        <v>1410</v>
      </c>
      <c r="G493" s="16" t="s">
        <v>1411</v>
      </c>
      <c r="H493" s="16" t="s">
        <v>190</v>
      </c>
    </row>
    <row r="494" spans="1:8" x14ac:dyDescent="0.25">
      <c r="A494" s="11" t="s">
        <v>266</v>
      </c>
      <c r="B494" s="16" t="s">
        <v>1407</v>
      </c>
      <c r="C494" s="16" t="s">
        <v>1460</v>
      </c>
      <c r="D494" s="16" t="s">
        <v>1461</v>
      </c>
      <c r="E494" s="16" t="s">
        <v>1462</v>
      </c>
      <c r="F494" s="16" t="s">
        <v>1410</v>
      </c>
      <c r="G494" s="16" t="s">
        <v>1411</v>
      </c>
      <c r="H494" s="16" t="s">
        <v>190</v>
      </c>
    </row>
    <row r="495" spans="1:8" x14ac:dyDescent="0.25">
      <c r="A495" s="11" t="s">
        <v>266</v>
      </c>
      <c r="B495" s="16" t="s">
        <v>1407</v>
      </c>
      <c r="C495" s="16" t="s">
        <v>1463</v>
      </c>
      <c r="D495" s="16" t="s">
        <v>1464</v>
      </c>
      <c r="E495" s="16" t="s">
        <v>1465</v>
      </c>
      <c r="F495" s="16" t="s">
        <v>1410</v>
      </c>
      <c r="G495" s="16" t="s">
        <v>1411</v>
      </c>
      <c r="H495" s="16" t="s">
        <v>190</v>
      </c>
    </row>
    <row r="496" spans="1:8" x14ac:dyDescent="0.25">
      <c r="A496" s="11" t="s">
        <v>266</v>
      </c>
      <c r="B496" s="16" t="s">
        <v>1407</v>
      </c>
      <c r="C496" s="16" t="s">
        <v>1466</v>
      </c>
      <c r="D496" s="16" t="s">
        <v>1467</v>
      </c>
      <c r="E496" s="16" t="s">
        <v>1468</v>
      </c>
      <c r="F496" s="16" t="s">
        <v>1410</v>
      </c>
      <c r="G496" s="16" t="s">
        <v>1411</v>
      </c>
      <c r="H496" s="16" t="s">
        <v>190</v>
      </c>
    </row>
    <row r="497" spans="1:8" x14ac:dyDescent="0.25">
      <c r="A497" s="11" t="s">
        <v>266</v>
      </c>
      <c r="B497" s="16" t="s">
        <v>1407</v>
      </c>
      <c r="C497" s="16" t="s">
        <v>1469</v>
      </c>
      <c r="D497" s="16" t="s">
        <v>1470</v>
      </c>
      <c r="E497" s="16" t="s">
        <v>1471</v>
      </c>
      <c r="F497" s="16" t="s">
        <v>1410</v>
      </c>
      <c r="G497" s="16" t="s">
        <v>1411</v>
      </c>
      <c r="H497" s="16" t="s">
        <v>190</v>
      </c>
    </row>
    <row r="498" spans="1:8" x14ac:dyDescent="0.25">
      <c r="A498" s="11" t="s">
        <v>266</v>
      </c>
      <c r="B498" s="16" t="s">
        <v>1407</v>
      </c>
      <c r="C498" s="16" t="s">
        <v>1472</v>
      </c>
      <c r="D498" s="16" t="s">
        <v>1473</v>
      </c>
      <c r="E498" s="16" t="s">
        <v>1474</v>
      </c>
      <c r="F498" s="16" t="s">
        <v>1410</v>
      </c>
      <c r="G498" s="16" t="s">
        <v>1411</v>
      </c>
      <c r="H498" s="16" t="s">
        <v>190</v>
      </c>
    </row>
    <row r="499" spans="1:8" x14ac:dyDescent="0.25">
      <c r="A499" s="11" t="s">
        <v>266</v>
      </c>
      <c r="B499" s="16" t="s">
        <v>1407</v>
      </c>
      <c r="C499" s="16" t="s">
        <v>1475</v>
      </c>
      <c r="D499" s="16" t="s">
        <v>1476</v>
      </c>
      <c r="E499" s="16" t="s">
        <v>1477</v>
      </c>
      <c r="F499" s="16" t="s">
        <v>1410</v>
      </c>
      <c r="G499" s="16" t="s">
        <v>1411</v>
      </c>
      <c r="H499" s="16" t="s">
        <v>190</v>
      </c>
    </row>
    <row r="500" spans="1:8" x14ac:dyDescent="0.25">
      <c r="A500" s="11" t="s">
        <v>266</v>
      </c>
      <c r="B500" s="16" t="s">
        <v>1407</v>
      </c>
      <c r="C500" s="16" t="s">
        <v>1478</v>
      </c>
      <c r="D500" s="16" t="s">
        <v>1479</v>
      </c>
      <c r="E500" s="16" t="s">
        <v>1480</v>
      </c>
      <c r="F500" s="16" t="s">
        <v>1410</v>
      </c>
      <c r="G500" s="16" t="s">
        <v>1411</v>
      </c>
      <c r="H500" s="16" t="s">
        <v>190</v>
      </c>
    </row>
    <row r="501" spans="1:8" x14ac:dyDescent="0.25">
      <c r="A501" s="11" t="s">
        <v>266</v>
      </c>
      <c r="B501" s="16" t="s">
        <v>1407</v>
      </c>
      <c r="C501" s="16" t="s">
        <v>1481</v>
      </c>
      <c r="D501" s="16" t="s">
        <v>1482</v>
      </c>
      <c r="E501" s="16" t="s">
        <v>1483</v>
      </c>
      <c r="F501" s="16" t="s">
        <v>1410</v>
      </c>
      <c r="G501" s="16" t="s">
        <v>1411</v>
      </c>
      <c r="H501" s="16" t="s">
        <v>190</v>
      </c>
    </row>
    <row r="502" spans="1:8" x14ac:dyDescent="0.25">
      <c r="A502" s="11" t="s">
        <v>266</v>
      </c>
      <c r="B502" s="16" t="s">
        <v>1407</v>
      </c>
      <c r="C502" s="16" t="s">
        <v>1484</v>
      </c>
      <c r="D502" s="16" t="s">
        <v>1485</v>
      </c>
      <c r="E502" s="16" t="s">
        <v>1486</v>
      </c>
      <c r="F502" s="16" t="s">
        <v>1410</v>
      </c>
      <c r="G502" s="16" t="s">
        <v>1411</v>
      </c>
      <c r="H502" s="16" t="s">
        <v>190</v>
      </c>
    </row>
    <row r="503" spans="1:8" x14ac:dyDescent="0.25">
      <c r="A503" s="11" t="s">
        <v>266</v>
      </c>
      <c r="B503" s="16" t="s">
        <v>1407</v>
      </c>
      <c r="C503" s="16" t="s">
        <v>1487</v>
      </c>
      <c r="D503" s="16" t="s">
        <v>1488</v>
      </c>
      <c r="E503" s="16" t="s">
        <v>1489</v>
      </c>
      <c r="F503" s="16" t="s">
        <v>1410</v>
      </c>
      <c r="G503" s="16" t="s">
        <v>1411</v>
      </c>
      <c r="H503" s="16" t="s">
        <v>190</v>
      </c>
    </row>
    <row r="504" spans="1:8" x14ac:dyDescent="0.25">
      <c r="A504" s="11" t="s">
        <v>266</v>
      </c>
      <c r="B504" s="16" t="s">
        <v>1407</v>
      </c>
      <c r="C504" s="16" t="s">
        <v>1490</v>
      </c>
      <c r="D504" s="16" t="s">
        <v>1491</v>
      </c>
      <c r="E504" s="16" t="s">
        <v>1492</v>
      </c>
      <c r="F504" s="16" t="s">
        <v>1410</v>
      </c>
      <c r="G504" s="16" t="s">
        <v>1411</v>
      </c>
      <c r="H504" s="16" t="s">
        <v>190</v>
      </c>
    </row>
    <row r="505" spans="1:8" x14ac:dyDescent="0.25">
      <c r="A505" s="11" t="s">
        <v>266</v>
      </c>
      <c r="B505" s="16" t="s">
        <v>1407</v>
      </c>
      <c r="C505" s="16" t="s">
        <v>1493</v>
      </c>
      <c r="D505" s="16" t="s">
        <v>1494</v>
      </c>
      <c r="E505" s="16" t="s">
        <v>1495</v>
      </c>
      <c r="F505" s="16" t="s">
        <v>1410</v>
      </c>
      <c r="G505" s="16" t="s">
        <v>1411</v>
      </c>
      <c r="H505" s="16" t="s">
        <v>190</v>
      </c>
    </row>
    <row r="506" spans="1:8" x14ac:dyDescent="0.25">
      <c r="A506" s="11" t="s">
        <v>266</v>
      </c>
      <c r="B506" s="16" t="s">
        <v>1407</v>
      </c>
      <c r="C506" s="16" t="s">
        <v>1496</v>
      </c>
      <c r="D506" s="16" t="s">
        <v>1497</v>
      </c>
      <c r="E506" s="16" t="s">
        <v>1498</v>
      </c>
      <c r="F506" s="16" t="s">
        <v>1410</v>
      </c>
      <c r="G506" s="16" t="s">
        <v>1411</v>
      </c>
      <c r="H506" s="16" t="s">
        <v>190</v>
      </c>
    </row>
    <row r="507" spans="1:8" x14ac:dyDescent="0.25">
      <c r="A507" s="11" t="s">
        <v>266</v>
      </c>
      <c r="B507" s="16" t="s">
        <v>1407</v>
      </c>
      <c r="C507" s="16" t="s">
        <v>1499</v>
      </c>
      <c r="D507" s="16" t="s">
        <v>1500</v>
      </c>
      <c r="E507" s="16" t="s">
        <v>1501</v>
      </c>
      <c r="F507" s="16" t="s">
        <v>1410</v>
      </c>
      <c r="G507" s="16" t="s">
        <v>1411</v>
      </c>
      <c r="H507" s="16" t="s">
        <v>190</v>
      </c>
    </row>
    <row r="508" spans="1:8" x14ac:dyDescent="0.25">
      <c r="A508" s="11" t="s">
        <v>266</v>
      </c>
      <c r="B508" s="16" t="s">
        <v>1407</v>
      </c>
      <c r="C508" s="16" t="s">
        <v>1502</v>
      </c>
      <c r="D508" s="16" t="s">
        <v>1503</v>
      </c>
      <c r="E508" s="16" t="s">
        <v>1504</v>
      </c>
      <c r="F508" s="16" t="s">
        <v>1410</v>
      </c>
      <c r="G508" s="16" t="s">
        <v>1411</v>
      </c>
      <c r="H508" s="16" t="s">
        <v>190</v>
      </c>
    </row>
    <row r="509" spans="1:8" x14ac:dyDescent="0.25">
      <c r="A509" s="11" t="s">
        <v>266</v>
      </c>
      <c r="B509" s="16" t="s">
        <v>1407</v>
      </c>
      <c r="C509" s="16" t="s">
        <v>1505</v>
      </c>
      <c r="D509" s="16" t="s">
        <v>1506</v>
      </c>
      <c r="E509" s="16" t="s">
        <v>1507</v>
      </c>
      <c r="F509" s="16" t="s">
        <v>1410</v>
      </c>
      <c r="G509" s="16" t="s">
        <v>1411</v>
      </c>
      <c r="H509" s="16" t="s">
        <v>190</v>
      </c>
    </row>
    <row r="510" spans="1:8" x14ac:dyDescent="0.25">
      <c r="A510" s="11" t="s">
        <v>266</v>
      </c>
      <c r="B510" s="16" t="s">
        <v>1407</v>
      </c>
      <c r="C510" s="16" t="s">
        <v>1508</v>
      </c>
      <c r="D510" s="16" t="s">
        <v>1509</v>
      </c>
      <c r="E510" s="16" t="s">
        <v>1510</v>
      </c>
      <c r="F510" s="16" t="s">
        <v>1410</v>
      </c>
      <c r="G510" s="16" t="s">
        <v>1411</v>
      </c>
      <c r="H510" s="16" t="s">
        <v>190</v>
      </c>
    </row>
    <row r="511" spans="1:8" x14ac:dyDescent="0.25">
      <c r="A511" s="11" t="s">
        <v>266</v>
      </c>
      <c r="B511" s="16" t="s">
        <v>1407</v>
      </c>
      <c r="C511" s="16" t="s">
        <v>1511</v>
      </c>
      <c r="D511" s="16" t="s">
        <v>1512</v>
      </c>
      <c r="E511" s="16" t="s">
        <v>1513</v>
      </c>
      <c r="F511" s="16" t="s">
        <v>1410</v>
      </c>
      <c r="G511" s="16" t="s">
        <v>1411</v>
      </c>
      <c r="H511" s="16" t="s">
        <v>190</v>
      </c>
    </row>
    <row r="512" spans="1:8" x14ac:dyDescent="0.25">
      <c r="A512" s="11" t="s">
        <v>266</v>
      </c>
      <c r="B512" s="16" t="s">
        <v>1407</v>
      </c>
      <c r="C512" s="16" t="s">
        <v>1514</v>
      </c>
      <c r="D512" s="16" t="s">
        <v>1515</v>
      </c>
      <c r="E512" s="16" t="s">
        <v>1516</v>
      </c>
      <c r="F512" s="16" t="s">
        <v>1410</v>
      </c>
      <c r="G512" s="16" t="s">
        <v>1411</v>
      </c>
      <c r="H512" s="16" t="s">
        <v>190</v>
      </c>
    </row>
    <row r="513" spans="1:8" x14ac:dyDescent="0.25">
      <c r="A513" s="11" t="s">
        <v>266</v>
      </c>
      <c r="B513" s="16" t="s">
        <v>1407</v>
      </c>
      <c r="C513" s="16" t="s">
        <v>1517</v>
      </c>
      <c r="D513" s="16" t="s">
        <v>1518</v>
      </c>
      <c r="E513" s="16" t="s">
        <v>1519</v>
      </c>
      <c r="F513" s="16" t="s">
        <v>1410</v>
      </c>
      <c r="G513" s="16" t="s">
        <v>1411</v>
      </c>
      <c r="H513" s="16" t="s">
        <v>190</v>
      </c>
    </row>
    <row r="514" spans="1:8" x14ac:dyDescent="0.25">
      <c r="A514" s="11" t="s">
        <v>266</v>
      </c>
      <c r="B514" s="16" t="s">
        <v>1407</v>
      </c>
      <c r="C514" s="16" t="s">
        <v>1520</v>
      </c>
      <c r="D514" s="16" t="s">
        <v>1521</v>
      </c>
      <c r="E514" s="16" t="s">
        <v>1522</v>
      </c>
      <c r="F514" s="16" t="s">
        <v>1410</v>
      </c>
      <c r="G514" s="16" t="s">
        <v>1411</v>
      </c>
      <c r="H514" s="16" t="s">
        <v>190</v>
      </c>
    </row>
    <row r="515" spans="1:8" x14ac:dyDescent="0.25">
      <c r="A515" s="11" t="s">
        <v>266</v>
      </c>
      <c r="B515" s="16" t="s">
        <v>1407</v>
      </c>
      <c r="C515" s="16" t="s">
        <v>1523</v>
      </c>
      <c r="D515" s="16" t="s">
        <v>1524</v>
      </c>
      <c r="E515" s="16" t="s">
        <v>1525</v>
      </c>
      <c r="F515" s="16" t="s">
        <v>1410</v>
      </c>
      <c r="G515" s="16" t="s">
        <v>1411</v>
      </c>
      <c r="H515" s="16" t="s">
        <v>190</v>
      </c>
    </row>
    <row r="516" spans="1:8" x14ac:dyDescent="0.25">
      <c r="A516" s="11" t="s">
        <v>266</v>
      </c>
      <c r="B516" s="16" t="s">
        <v>1407</v>
      </c>
      <c r="C516" s="16" t="s">
        <v>1526</v>
      </c>
      <c r="D516" s="16" t="s">
        <v>1527</v>
      </c>
      <c r="E516" s="16" t="s">
        <v>1528</v>
      </c>
      <c r="F516" s="16" t="s">
        <v>1410</v>
      </c>
      <c r="G516" s="16" t="s">
        <v>1411</v>
      </c>
      <c r="H516" s="16" t="s">
        <v>190</v>
      </c>
    </row>
    <row r="517" spans="1:8" x14ac:dyDescent="0.25">
      <c r="A517" s="11" t="s">
        <v>266</v>
      </c>
      <c r="B517" s="16" t="s">
        <v>1407</v>
      </c>
      <c r="C517" s="16" t="s">
        <v>1529</v>
      </c>
      <c r="D517" s="16" t="s">
        <v>1530</v>
      </c>
      <c r="E517" s="16" t="s">
        <v>1531</v>
      </c>
      <c r="F517" s="16" t="s">
        <v>1410</v>
      </c>
      <c r="G517" s="16" t="s">
        <v>1411</v>
      </c>
      <c r="H517" s="16" t="s">
        <v>190</v>
      </c>
    </row>
    <row r="518" spans="1:8" x14ac:dyDescent="0.25">
      <c r="A518" s="11" t="s">
        <v>266</v>
      </c>
      <c r="B518" s="16" t="s">
        <v>1407</v>
      </c>
      <c r="C518" s="16" t="s">
        <v>1532</v>
      </c>
      <c r="D518" s="16" t="s">
        <v>1533</v>
      </c>
      <c r="E518" s="16" t="s">
        <v>1534</v>
      </c>
      <c r="F518" s="16" t="s">
        <v>1410</v>
      </c>
      <c r="G518" s="16" t="s">
        <v>1411</v>
      </c>
      <c r="H518" s="16" t="s">
        <v>190</v>
      </c>
    </row>
    <row r="519" spans="1:8" x14ac:dyDescent="0.25">
      <c r="A519" s="11" t="s">
        <v>266</v>
      </c>
      <c r="B519" s="16" t="s">
        <v>1407</v>
      </c>
      <c r="C519" s="16" t="s">
        <v>1535</v>
      </c>
      <c r="D519" s="16" t="s">
        <v>1536</v>
      </c>
      <c r="E519" s="16" t="s">
        <v>1537</v>
      </c>
      <c r="F519" s="16" t="s">
        <v>1410</v>
      </c>
      <c r="G519" s="16" t="s">
        <v>1411</v>
      </c>
      <c r="H519" s="16" t="s">
        <v>190</v>
      </c>
    </row>
    <row r="520" spans="1:8" x14ac:dyDescent="0.25">
      <c r="A520" s="11" t="s">
        <v>266</v>
      </c>
      <c r="B520" s="16" t="s">
        <v>1407</v>
      </c>
      <c r="C520" s="16" t="s">
        <v>1538</v>
      </c>
      <c r="D520" s="16" t="s">
        <v>1539</v>
      </c>
      <c r="E520" s="16" t="s">
        <v>1540</v>
      </c>
      <c r="F520" s="16" t="s">
        <v>1410</v>
      </c>
      <c r="G520" s="16" t="s">
        <v>1411</v>
      </c>
      <c r="H520" s="16" t="s">
        <v>190</v>
      </c>
    </row>
    <row r="521" spans="1:8" x14ac:dyDescent="0.25">
      <c r="A521" s="11" t="s">
        <v>266</v>
      </c>
      <c r="B521" s="16" t="s">
        <v>1407</v>
      </c>
      <c r="C521" s="16" t="s">
        <v>1541</v>
      </c>
      <c r="D521" s="16" t="s">
        <v>1542</v>
      </c>
      <c r="E521" s="16" t="s">
        <v>1543</v>
      </c>
      <c r="F521" s="16" t="s">
        <v>1410</v>
      </c>
      <c r="G521" s="16" t="s">
        <v>1411</v>
      </c>
      <c r="H521" s="16" t="s">
        <v>190</v>
      </c>
    </row>
    <row r="522" spans="1:8" x14ac:dyDescent="0.25">
      <c r="A522" s="11" t="s">
        <v>266</v>
      </c>
      <c r="B522" s="16" t="s">
        <v>1407</v>
      </c>
      <c r="C522" s="16" t="s">
        <v>1544</v>
      </c>
      <c r="D522" s="16" t="s">
        <v>1545</v>
      </c>
      <c r="E522" s="16" t="s">
        <v>1546</v>
      </c>
      <c r="F522" s="16" t="s">
        <v>1410</v>
      </c>
      <c r="G522" s="16" t="s">
        <v>1411</v>
      </c>
      <c r="H522" s="16" t="s">
        <v>190</v>
      </c>
    </row>
    <row r="523" spans="1:8" x14ac:dyDescent="0.25">
      <c r="A523" s="11" t="s">
        <v>266</v>
      </c>
      <c r="B523" s="16" t="s">
        <v>1407</v>
      </c>
      <c r="C523" s="16" t="s">
        <v>1547</v>
      </c>
      <c r="D523" s="16" t="s">
        <v>1548</v>
      </c>
      <c r="E523" s="16" t="s">
        <v>1549</v>
      </c>
      <c r="F523" s="16" t="s">
        <v>1410</v>
      </c>
      <c r="G523" s="16" t="s">
        <v>1411</v>
      </c>
      <c r="H523" s="16" t="s">
        <v>190</v>
      </c>
    </row>
    <row r="524" spans="1:8" x14ac:dyDescent="0.25">
      <c r="A524" s="11" t="s">
        <v>266</v>
      </c>
      <c r="B524" s="16" t="s">
        <v>1407</v>
      </c>
      <c r="C524" s="16" t="s">
        <v>1550</v>
      </c>
      <c r="D524" s="16" t="s">
        <v>1551</v>
      </c>
      <c r="E524" s="16" t="s">
        <v>1552</v>
      </c>
      <c r="F524" s="16" t="s">
        <v>1410</v>
      </c>
      <c r="G524" s="16" t="s">
        <v>1411</v>
      </c>
      <c r="H524" s="16" t="s">
        <v>190</v>
      </c>
    </row>
    <row r="525" spans="1:8" x14ac:dyDescent="0.25">
      <c r="A525" s="11" t="s">
        <v>266</v>
      </c>
      <c r="B525" s="16" t="s">
        <v>1553</v>
      </c>
      <c r="C525" s="16" t="s">
        <v>172</v>
      </c>
      <c r="D525" s="16" t="s">
        <v>1554</v>
      </c>
      <c r="E525" s="16" t="s">
        <v>1555</v>
      </c>
      <c r="F525" s="16" t="s">
        <v>260</v>
      </c>
      <c r="G525" s="16" t="s">
        <v>1556</v>
      </c>
      <c r="H525" s="16" t="s">
        <v>190</v>
      </c>
    </row>
    <row r="526" spans="1:8" x14ac:dyDescent="0.25">
      <c r="A526" s="11" t="s">
        <v>266</v>
      </c>
      <c r="B526" s="16" t="s">
        <v>1553</v>
      </c>
      <c r="C526" s="16" t="s">
        <v>173</v>
      </c>
      <c r="D526" s="16" t="s">
        <v>1557</v>
      </c>
      <c r="E526" s="16" t="s">
        <v>1558</v>
      </c>
      <c r="F526" s="16" t="s">
        <v>260</v>
      </c>
      <c r="G526" s="16" t="s">
        <v>1556</v>
      </c>
      <c r="H526" s="16" t="s">
        <v>190</v>
      </c>
    </row>
    <row r="527" spans="1:8" x14ac:dyDescent="0.25">
      <c r="A527" s="11" t="s">
        <v>266</v>
      </c>
      <c r="B527" s="16" t="s">
        <v>1553</v>
      </c>
      <c r="C527" s="16" t="s">
        <v>174</v>
      </c>
      <c r="D527" s="16" t="s">
        <v>1559</v>
      </c>
      <c r="E527" s="16" t="s">
        <v>1560</v>
      </c>
      <c r="F527" s="16" t="s">
        <v>260</v>
      </c>
      <c r="G527" s="16" t="s">
        <v>1556</v>
      </c>
      <c r="H527" s="16" t="s">
        <v>190</v>
      </c>
    </row>
    <row r="528" spans="1:8" x14ac:dyDescent="0.25">
      <c r="A528" s="11" t="s">
        <v>266</v>
      </c>
      <c r="B528" s="16" t="s">
        <v>1553</v>
      </c>
      <c r="C528" s="16" t="s">
        <v>175</v>
      </c>
      <c r="D528" s="16" t="s">
        <v>1561</v>
      </c>
      <c r="E528" s="16" t="s">
        <v>1562</v>
      </c>
      <c r="F528" s="16" t="s">
        <v>260</v>
      </c>
      <c r="G528" s="16" t="s">
        <v>1556</v>
      </c>
      <c r="H528" s="16" t="s">
        <v>190</v>
      </c>
    </row>
    <row r="529" spans="1:8" x14ac:dyDescent="0.25">
      <c r="A529" s="11" t="s">
        <v>266</v>
      </c>
      <c r="B529" s="16" t="s">
        <v>1553</v>
      </c>
      <c r="C529" s="16" t="s">
        <v>1563</v>
      </c>
      <c r="D529" s="16" t="s">
        <v>1564</v>
      </c>
      <c r="E529" s="16" t="s">
        <v>1565</v>
      </c>
      <c r="F529" s="16" t="s">
        <v>260</v>
      </c>
      <c r="G529" s="16" t="s">
        <v>1556</v>
      </c>
      <c r="H529" s="16" t="s">
        <v>190</v>
      </c>
    </row>
    <row r="530" spans="1:8" x14ac:dyDescent="0.25">
      <c r="A530" s="11" t="s">
        <v>266</v>
      </c>
      <c r="B530" s="16" t="s">
        <v>1553</v>
      </c>
      <c r="C530" s="16" t="s">
        <v>1566</v>
      </c>
      <c r="D530" s="16" t="s">
        <v>1567</v>
      </c>
      <c r="E530" s="16" t="s">
        <v>1568</v>
      </c>
      <c r="F530" s="16" t="s">
        <v>260</v>
      </c>
      <c r="G530" s="16" t="s">
        <v>1556</v>
      </c>
      <c r="H530" s="16" t="s">
        <v>190</v>
      </c>
    </row>
    <row r="531" spans="1:8" x14ac:dyDescent="0.25">
      <c r="A531" s="11" t="s">
        <v>266</v>
      </c>
      <c r="B531" s="16" t="s">
        <v>1553</v>
      </c>
      <c r="C531" s="16" t="s">
        <v>1569</v>
      </c>
      <c r="D531" s="16" t="s">
        <v>1570</v>
      </c>
      <c r="E531" s="16" t="s">
        <v>1571</v>
      </c>
      <c r="F531" s="16" t="s">
        <v>260</v>
      </c>
      <c r="G531" s="16" t="s">
        <v>1556</v>
      </c>
      <c r="H531" s="16" t="s">
        <v>190</v>
      </c>
    </row>
    <row r="532" spans="1:8" x14ac:dyDescent="0.25">
      <c r="A532" s="11" t="s">
        <v>266</v>
      </c>
      <c r="B532" s="16" t="s">
        <v>1553</v>
      </c>
      <c r="C532" s="16" t="s">
        <v>1572</v>
      </c>
      <c r="D532" s="16" t="s">
        <v>1573</v>
      </c>
      <c r="E532" s="16" t="s">
        <v>1574</v>
      </c>
      <c r="F532" s="16" t="s">
        <v>260</v>
      </c>
      <c r="G532" s="16" t="s">
        <v>1556</v>
      </c>
      <c r="H532" s="16" t="s">
        <v>190</v>
      </c>
    </row>
    <row r="533" spans="1:8" x14ac:dyDescent="0.25">
      <c r="A533" s="11" t="s">
        <v>266</v>
      </c>
      <c r="B533" s="16" t="s">
        <v>1553</v>
      </c>
      <c r="C533" s="16" t="s">
        <v>1575</v>
      </c>
      <c r="D533" s="16" t="s">
        <v>1576</v>
      </c>
      <c r="E533" s="16" t="s">
        <v>1577</v>
      </c>
      <c r="F533" s="16" t="s">
        <v>260</v>
      </c>
      <c r="G533" s="16" t="s">
        <v>1556</v>
      </c>
      <c r="H533" s="16" t="s">
        <v>190</v>
      </c>
    </row>
    <row r="534" spans="1:8" x14ac:dyDescent="0.25">
      <c r="A534" s="11" t="s">
        <v>266</v>
      </c>
      <c r="B534" s="16" t="s">
        <v>1553</v>
      </c>
      <c r="C534" s="16" t="s">
        <v>1578</v>
      </c>
      <c r="D534" s="16" t="s">
        <v>1579</v>
      </c>
      <c r="E534" s="16" t="s">
        <v>1580</v>
      </c>
      <c r="F534" s="16" t="s">
        <v>260</v>
      </c>
      <c r="G534" s="16" t="s">
        <v>1556</v>
      </c>
      <c r="H534" s="16" t="s">
        <v>190</v>
      </c>
    </row>
    <row r="535" spans="1:8" x14ac:dyDescent="0.25">
      <c r="A535" s="11" t="s">
        <v>266</v>
      </c>
      <c r="B535" s="16" t="s">
        <v>1553</v>
      </c>
      <c r="C535" s="16" t="s">
        <v>1581</v>
      </c>
      <c r="D535" s="16" t="s">
        <v>1582</v>
      </c>
      <c r="E535" s="16" t="s">
        <v>1583</v>
      </c>
      <c r="F535" s="16" t="s">
        <v>260</v>
      </c>
      <c r="G535" s="16" t="s">
        <v>1556</v>
      </c>
      <c r="H535" s="16" t="s">
        <v>190</v>
      </c>
    </row>
    <row r="536" spans="1:8" x14ac:dyDescent="0.25">
      <c r="A536" s="11" t="s">
        <v>266</v>
      </c>
      <c r="B536" s="16" t="s">
        <v>1553</v>
      </c>
      <c r="C536" s="16" t="s">
        <v>1584</v>
      </c>
      <c r="D536" s="16" t="s">
        <v>1585</v>
      </c>
      <c r="E536" s="16" t="s">
        <v>1586</v>
      </c>
      <c r="F536" s="16" t="s">
        <v>260</v>
      </c>
      <c r="G536" s="16" t="s">
        <v>1556</v>
      </c>
      <c r="H536" s="16" t="s">
        <v>190</v>
      </c>
    </row>
    <row r="537" spans="1:8" x14ac:dyDescent="0.25">
      <c r="A537" s="11" t="s">
        <v>266</v>
      </c>
      <c r="B537" s="16" t="s">
        <v>1553</v>
      </c>
      <c r="C537" s="16" t="s">
        <v>1587</v>
      </c>
      <c r="D537" s="16" t="s">
        <v>1588</v>
      </c>
      <c r="E537" s="16" t="s">
        <v>1589</v>
      </c>
      <c r="F537" s="16" t="s">
        <v>260</v>
      </c>
      <c r="G537" s="16" t="s">
        <v>1556</v>
      </c>
      <c r="H537" s="16" t="s">
        <v>190</v>
      </c>
    </row>
    <row r="538" spans="1:8" x14ac:dyDescent="0.25">
      <c r="A538" s="11" t="s">
        <v>266</v>
      </c>
      <c r="B538" s="16" t="s">
        <v>1553</v>
      </c>
      <c r="C538" s="16" t="s">
        <v>1590</v>
      </c>
      <c r="D538" s="16" t="s">
        <v>1591</v>
      </c>
      <c r="E538" s="16" t="s">
        <v>1592</v>
      </c>
      <c r="F538" s="16" t="s">
        <v>260</v>
      </c>
      <c r="G538" s="16" t="s">
        <v>1556</v>
      </c>
      <c r="H538" s="16" t="s">
        <v>190</v>
      </c>
    </row>
    <row r="539" spans="1:8" x14ac:dyDescent="0.25">
      <c r="A539" s="11" t="s">
        <v>266</v>
      </c>
      <c r="B539" s="16" t="s">
        <v>1553</v>
      </c>
      <c r="C539" s="16" t="s">
        <v>1593</v>
      </c>
      <c r="D539" s="16" t="s">
        <v>1594</v>
      </c>
      <c r="E539" s="16" t="s">
        <v>1595</v>
      </c>
      <c r="F539" s="16" t="s">
        <v>260</v>
      </c>
      <c r="G539" s="16" t="s">
        <v>1556</v>
      </c>
      <c r="H539" s="16" t="s">
        <v>190</v>
      </c>
    </row>
    <row r="540" spans="1:8" x14ac:dyDescent="0.25">
      <c r="A540" s="11" t="s">
        <v>266</v>
      </c>
      <c r="B540" s="16" t="s">
        <v>1553</v>
      </c>
      <c r="C540" s="16" t="s">
        <v>1596</v>
      </c>
      <c r="D540" s="16" t="s">
        <v>1597</v>
      </c>
      <c r="E540" s="16" t="s">
        <v>1598</v>
      </c>
      <c r="F540" s="16" t="s">
        <v>260</v>
      </c>
      <c r="G540" s="16" t="s">
        <v>1556</v>
      </c>
      <c r="H540" s="16" t="s">
        <v>190</v>
      </c>
    </row>
    <row r="541" spans="1:8" x14ac:dyDescent="0.25">
      <c r="A541" s="11" t="s">
        <v>266</v>
      </c>
      <c r="B541" s="16" t="s">
        <v>1553</v>
      </c>
      <c r="C541" s="16" t="s">
        <v>1599</v>
      </c>
      <c r="D541" s="16" t="s">
        <v>1600</v>
      </c>
      <c r="E541" s="16" t="s">
        <v>1601</v>
      </c>
      <c r="F541" s="16" t="s">
        <v>260</v>
      </c>
      <c r="G541" s="16" t="s">
        <v>1556</v>
      </c>
      <c r="H541" s="16" t="s">
        <v>190</v>
      </c>
    </row>
    <row r="542" spans="1:8" x14ac:dyDescent="0.25">
      <c r="A542" s="11" t="s">
        <v>266</v>
      </c>
      <c r="B542" s="16" t="s">
        <v>1553</v>
      </c>
      <c r="C542" s="16" t="s">
        <v>1602</v>
      </c>
      <c r="D542" s="16" t="s">
        <v>1603</v>
      </c>
      <c r="E542" s="16" t="s">
        <v>1604</v>
      </c>
      <c r="F542" s="16" t="s">
        <v>260</v>
      </c>
      <c r="G542" s="16" t="s">
        <v>1556</v>
      </c>
      <c r="H542" s="16" t="s">
        <v>190</v>
      </c>
    </row>
    <row r="543" spans="1:8" x14ac:dyDescent="0.25">
      <c r="A543" s="11" t="s">
        <v>266</v>
      </c>
      <c r="B543" s="16" t="s">
        <v>1553</v>
      </c>
      <c r="C543" s="16" t="s">
        <v>1605</v>
      </c>
      <c r="D543" s="16" t="s">
        <v>1606</v>
      </c>
      <c r="E543" s="16" t="s">
        <v>1607</v>
      </c>
      <c r="F543" s="16" t="s">
        <v>260</v>
      </c>
      <c r="G543" s="16" t="s">
        <v>1556</v>
      </c>
      <c r="H543" s="16" t="s">
        <v>190</v>
      </c>
    </row>
    <row r="544" spans="1:8" x14ac:dyDescent="0.25">
      <c r="A544" s="11" t="s">
        <v>266</v>
      </c>
      <c r="B544" s="16" t="s">
        <v>1553</v>
      </c>
      <c r="C544" s="16" t="s">
        <v>1608</v>
      </c>
      <c r="D544" s="16" t="s">
        <v>1609</v>
      </c>
      <c r="E544" s="16" t="s">
        <v>1610</v>
      </c>
      <c r="F544" s="16" t="s">
        <v>260</v>
      </c>
      <c r="G544" s="16" t="s">
        <v>1556</v>
      </c>
      <c r="H544" s="16" t="s">
        <v>190</v>
      </c>
    </row>
    <row r="545" spans="1:8" x14ac:dyDescent="0.25">
      <c r="A545" s="11" t="s">
        <v>266</v>
      </c>
      <c r="B545" s="16" t="s">
        <v>1553</v>
      </c>
      <c r="C545" s="16" t="s">
        <v>1611</v>
      </c>
      <c r="D545" s="16" t="s">
        <v>1612</v>
      </c>
      <c r="E545" s="16" t="s">
        <v>1613</v>
      </c>
      <c r="F545" s="16" t="s">
        <v>260</v>
      </c>
      <c r="G545" s="16" t="s">
        <v>1556</v>
      </c>
      <c r="H545" s="16" t="s">
        <v>190</v>
      </c>
    </row>
    <row r="546" spans="1:8" x14ac:dyDescent="0.25">
      <c r="A546" s="11" t="s">
        <v>266</v>
      </c>
      <c r="B546" s="16" t="s">
        <v>1553</v>
      </c>
      <c r="C546" s="16" t="s">
        <v>1614</v>
      </c>
      <c r="D546" s="16" t="s">
        <v>1615</v>
      </c>
      <c r="E546" s="16" t="s">
        <v>1616</v>
      </c>
      <c r="F546" s="16" t="s">
        <v>260</v>
      </c>
      <c r="G546" s="16" t="s">
        <v>1556</v>
      </c>
      <c r="H546" s="16" t="s">
        <v>190</v>
      </c>
    </row>
    <row r="547" spans="1:8" x14ac:dyDescent="0.25">
      <c r="A547" s="11" t="s">
        <v>266</v>
      </c>
      <c r="B547" s="16" t="s">
        <v>1553</v>
      </c>
      <c r="C547" s="16" t="s">
        <v>1617</v>
      </c>
      <c r="D547" s="16" t="s">
        <v>1618</v>
      </c>
      <c r="E547" s="16" t="s">
        <v>1619</v>
      </c>
      <c r="F547" s="16" t="s">
        <v>260</v>
      </c>
      <c r="G547" s="16" t="s">
        <v>1556</v>
      </c>
      <c r="H547" s="16" t="s">
        <v>190</v>
      </c>
    </row>
    <row r="548" spans="1:8" x14ac:dyDescent="0.25">
      <c r="A548" s="11" t="s">
        <v>266</v>
      </c>
      <c r="B548" s="16" t="s">
        <v>1553</v>
      </c>
      <c r="C548" s="16" t="s">
        <v>1620</v>
      </c>
      <c r="D548" s="16" t="s">
        <v>1621</v>
      </c>
      <c r="E548" s="16" t="s">
        <v>1622</v>
      </c>
      <c r="F548" s="16" t="s">
        <v>260</v>
      </c>
      <c r="G548" s="16" t="s">
        <v>1556</v>
      </c>
      <c r="H548" s="16" t="s">
        <v>190</v>
      </c>
    </row>
    <row r="549" spans="1:8" x14ac:dyDescent="0.25">
      <c r="A549" s="11" t="s">
        <v>266</v>
      </c>
      <c r="B549" s="16" t="s">
        <v>1553</v>
      </c>
      <c r="C549" s="16" t="s">
        <v>1623</v>
      </c>
      <c r="D549" s="16" t="s">
        <v>1624</v>
      </c>
      <c r="E549" s="16" t="s">
        <v>1625</v>
      </c>
      <c r="F549" s="16" t="s">
        <v>260</v>
      </c>
      <c r="G549" s="16" t="s">
        <v>1556</v>
      </c>
      <c r="H549" s="16" t="s">
        <v>190</v>
      </c>
    </row>
    <row r="550" spans="1:8" x14ac:dyDescent="0.25">
      <c r="A550" s="11" t="s">
        <v>266</v>
      </c>
      <c r="B550" s="16" t="s">
        <v>1553</v>
      </c>
      <c r="C550" s="16" t="s">
        <v>1626</v>
      </c>
      <c r="D550" s="16" t="s">
        <v>1627</v>
      </c>
      <c r="E550" s="16" t="s">
        <v>1628</v>
      </c>
      <c r="F550" s="16" t="s">
        <v>260</v>
      </c>
      <c r="G550" s="16" t="s">
        <v>1556</v>
      </c>
      <c r="H550" s="16" t="s">
        <v>190</v>
      </c>
    </row>
    <row r="551" spans="1:8" x14ac:dyDescent="0.25">
      <c r="A551" s="11" t="s">
        <v>266</v>
      </c>
      <c r="B551" s="16" t="s">
        <v>1553</v>
      </c>
      <c r="C551" s="16" t="s">
        <v>1629</v>
      </c>
      <c r="D551" s="16" t="s">
        <v>1630</v>
      </c>
      <c r="E551" s="16" t="s">
        <v>1631</v>
      </c>
      <c r="F551" s="16" t="s">
        <v>260</v>
      </c>
      <c r="G551" s="16" t="s">
        <v>1556</v>
      </c>
      <c r="H551" s="16" t="s">
        <v>190</v>
      </c>
    </row>
    <row r="552" spans="1:8" x14ac:dyDescent="0.25">
      <c r="A552" s="11" t="s">
        <v>266</v>
      </c>
      <c r="B552" s="16" t="s">
        <v>1553</v>
      </c>
      <c r="C552" s="16" t="s">
        <v>1632</v>
      </c>
      <c r="D552" s="16" t="s">
        <v>1633</v>
      </c>
      <c r="E552" s="16" t="s">
        <v>1634</v>
      </c>
      <c r="F552" s="16" t="s">
        <v>260</v>
      </c>
      <c r="G552" s="16" t="s">
        <v>1556</v>
      </c>
      <c r="H552" s="16" t="s">
        <v>190</v>
      </c>
    </row>
    <row r="553" spans="1:8" x14ac:dyDescent="0.25">
      <c r="A553" s="11" t="s">
        <v>266</v>
      </c>
      <c r="B553" s="16" t="s">
        <v>1553</v>
      </c>
      <c r="C553" s="16" t="s">
        <v>1635</v>
      </c>
      <c r="D553" s="16" t="s">
        <v>1636</v>
      </c>
      <c r="E553" s="16" t="s">
        <v>1637</v>
      </c>
      <c r="F553" s="16" t="s">
        <v>260</v>
      </c>
      <c r="G553" s="16" t="s">
        <v>1556</v>
      </c>
      <c r="H553" s="16" t="s">
        <v>190</v>
      </c>
    </row>
    <row r="554" spans="1:8" x14ac:dyDescent="0.25">
      <c r="A554" s="11" t="s">
        <v>266</v>
      </c>
      <c r="B554" s="16" t="s">
        <v>1553</v>
      </c>
      <c r="C554" s="16" t="s">
        <v>1638</v>
      </c>
      <c r="D554" s="16" t="s">
        <v>1639</v>
      </c>
      <c r="E554" s="16" t="s">
        <v>1640</v>
      </c>
      <c r="F554" s="16" t="s">
        <v>260</v>
      </c>
      <c r="G554" s="16" t="s">
        <v>1556</v>
      </c>
      <c r="H554" s="16" t="s">
        <v>190</v>
      </c>
    </row>
    <row r="555" spans="1:8" x14ac:dyDescent="0.25">
      <c r="A555" s="11" t="s">
        <v>266</v>
      </c>
      <c r="B555" s="16" t="s">
        <v>1553</v>
      </c>
      <c r="C555" s="16" t="s">
        <v>1641</v>
      </c>
      <c r="D555" s="16" t="s">
        <v>1642</v>
      </c>
      <c r="E555" s="16" t="s">
        <v>1643</v>
      </c>
      <c r="F555" s="16" t="s">
        <v>260</v>
      </c>
      <c r="G555" s="16" t="s">
        <v>1556</v>
      </c>
      <c r="H555" s="16" t="s">
        <v>190</v>
      </c>
    </row>
    <row r="556" spans="1:8" x14ac:dyDescent="0.25">
      <c r="A556" s="11" t="s">
        <v>266</v>
      </c>
      <c r="B556" s="16" t="s">
        <v>1553</v>
      </c>
      <c r="C556" s="16" t="s">
        <v>1644</v>
      </c>
      <c r="D556" s="16" t="s">
        <v>1645</v>
      </c>
      <c r="E556" s="16" t="s">
        <v>1646</v>
      </c>
      <c r="F556" s="16" t="s">
        <v>260</v>
      </c>
      <c r="G556" s="16" t="s">
        <v>1556</v>
      </c>
      <c r="H556" s="16" t="s">
        <v>190</v>
      </c>
    </row>
    <row r="557" spans="1:8" x14ac:dyDescent="0.25">
      <c r="A557" s="11" t="s">
        <v>266</v>
      </c>
      <c r="B557" s="16" t="s">
        <v>1553</v>
      </c>
      <c r="C557" s="16" t="s">
        <v>1647</v>
      </c>
      <c r="D557" s="16" t="s">
        <v>1648</v>
      </c>
      <c r="E557" s="16" t="s">
        <v>1649</v>
      </c>
      <c r="F557" s="16" t="s">
        <v>260</v>
      </c>
      <c r="G557" s="16" t="s">
        <v>1556</v>
      </c>
      <c r="H557" s="16" t="s">
        <v>190</v>
      </c>
    </row>
    <row r="558" spans="1:8" x14ac:dyDescent="0.25">
      <c r="A558" s="11" t="s">
        <v>266</v>
      </c>
      <c r="B558" s="16" t="s">
        <v>1553</v>
      </c>
      <c r="C558" s="16" t="s">
        <v>1650</v>
      </c>
      <c r="D558" s="16" t="s">
        <v>1651</v>
      </c>
      <c r="E558" s="16" t="s">
        <v>1652</v>
      </c>
      <c r="F558" s="16" t="s">
        <v>260</v>
      </c>
      <c r="G558" s="16" t="s">
        <v>1556</v>
      </c>
      <c r="H558" s="16" t="s">
        <v>190</v>
      </c>
    </row>
    <row r="559" spans="1:8" x14ac:dyDescent="0.25">
      <c r="A559" s="11" t="s">
        <v>266</v>
      </c>
      <c r="B559" s="16" t="s">
        <v>1553</v>
      </c>
      <c r="C559" s="16" t="s">
        <v>1653</v>
      </c>
      <c r="D559" s="16" t="s">
        <v>1654</v>
      </c>
      <c r="E559" s="16" t="s">
        <v>1655</v>
      </c>
      <c r="F559" s="16" t="s">
        <v>260</v>
      </c>
      <c r="G559" s="16" t="s">
        <v>1556</v>
      </c>
      <c r="H559" s="16" t="s">
        <v>190</v>
      </c>
    </row>
    <row r="560" spans="1:8" x14ac:dyDescent="0.25">
      <c r="A560" s="11" t="s">
        <v>266</v>
      </c>
      <c r="B560" s="16" t="s">
        <v>1553</v>
      </c>
      <c r="C560" s="16" t="s">
        <v>1656</v>
      </c>
      <c r="D560" s="16" t="s">
        <v>1657</v>
      </c>
      <c r="E560" s="16" t="s">
        <v>1658</v>
      </c>
      <c r="F560" s="16" t="s">
        <v>260</v>
      </c>
      <c r="G560" s="16" t="s">
        <v>1556</v>
      </c>
      <c r="H560" s="16" t="s">
        <v>190</v>
      </c>
    </row>
    <row r="561" spans="1:8" x14ac:dyDescent="0.25">
      <c r="A561" s="11" t="s">
        <v>266</v>
      </c>
      <c r="B561" s="16" t="s">
        <v>1553</v>
      </c>
      <c r="C561" s="16" t="s">
        <v>1659</v>
      </c>
      <c r="D561" s="16" t="s">
        <v>1660</v>
      </c>
      <c r="E561" s="16" t="s">
        <v>1661</v>
      </c>
      <c r="F561" s="16" t="s">
        <v>260</v>
      </c>
      <c r="G561" s="16" t="s">
        <v>1556</v>
      </c>
      <c r="H561" s="16" t="s">
        <v>190</v>
      </c>
    </row>
    <row r="562" spans="1:8" x14ac:dyDescent="0.25">
      <c r="A562" s="11" t="s">
        <v>266</v>
      </c>
      <c r="B562" s="16" t="s">
        <v>1553</v>
      </c>
      <c r="C562" s="16" t="s">
        <v>1662</v>
      </c>
      <c r="D562" s="16" t="s">
        <v>1663</v>
      </c>
      <c r="E562" s="16" t="s">
        <v>1664</v>
      </c>
      <c r="F562" s="16" t="s">
        <v>260</v>
      </c>
      <c r="G562" s="16" t="s">
        <v>1556</v>
      </c>
      <c r="H562" s="16" t="s">
        <v>190</v>
      </c>
    </row>
    <row r="563" spans="1:8" x14ac:dyDescent="0.25">
      <c r="A563" s="11" t="s">
        <v>266</v>
      </c>
      <c r="B563" s="16" t="s">
        <v>1553</v>
      </c>
      <c r="C563" s="16" t="s">
        <v>1665</v>
      </c>
      <c r="D563" s="16" t="s">
        <v>1666</v>
      </c>
      <c r="E563" s="16" t="s">
        <v>1667</v>
      </c>
      <c r="F563" s="16" t="s">
        <v>260</v>
      </c>
      <c r="G563" s="16" t="s">
        <v>1556</v>
      </c>
      <c r="H563" s="16" t="s">
        <v>190</v>
      </c>
    </row>
    <row r="564" spans="1:8" x14ac:dyDescent="0.25">
      <c r="A564" s="11" t="s">
        <v>266</v>
      </c>
      <c r="B564" s="16" t="s">
        <v>1553</v>
      </c>
      <c r="C564" s="16" t="s">
        <v>1668</v>
      </c>
      <c r="D564" s="16" t="s">
        <v>1669</v>
      </c>
      <c r="E564" s="16" t="s">
        <v>1670</v>
      </c>
      <c r="F564" s="16" t="s">
        <v>260</v>
      </c>
      <c r="G564" s="16" t="s">
        <v>1556</v>
      </c>
      <c r="H564" s="16" t="s">
        <v>190</v>
      </c>
    </row>
    <row r="565" spans="1:8" x14ac:dyDescent="0.25">
      <c r="A565" s="11" t="s">
        <v>266</v>
      </c>
      <c r="B565" s="16" t="s">
        <v>267</v>
      </c>
      <c r="C565" s="16" t="s">
        <v>176</v>
      </c>
      <c r="D565" s="16" t="s">
        <v>1671</v>
      </c>
      <c r="E565" s="16" t="s">
        <v>270</v>
      </c>
      <c r="F565" s="16" t="s">
        <v>260</v>
      </c>
      <c r="G565" s="16" t="s">
        <v>1556</v>
      </c>
      <c r="H565" s="16" t="s">
        <v>190</v>
      </c>
    </row>
    <row r="566" spans="1:8" x14ac:dyDescent="0.25">
      <c r="A566" s="11" t="s">
        <v>266</v>
      </c>
      <c r="B566" s="16" t="s">
        <v>267</v>
      </c>
      <c r="C566" s="16" t="s">
        <v>177</v>
      </c>
      <c r="D566" s="16" t="s">
        <v>1672</v>
      </c>
      <c r="E566" s="16" t="s">
        <v>1673</v>
      </c>
      <c r="F566" s="16" t="s">
        <v>260</v>
      </c>
      <c r="G566" s="16" t="s">
        <v>1556</v>
      </c>
      <c r="H566" s="16" t="s">
        <v>190</v>
      </c>
    </row>
    <row r="567" spans="1:8" x14ac:dyDescent="0.25">
      <c r="A567" s="11" t="s">
        <v>266</v>
      </c>
      <c r="B567" s="16" t="s">
        <v>267</v>
      </c>
      <c r="C567" s="16" t="s">
        <v>178</v>
      </c>
      <c r="D567" s="16" t="s">
        <v>1674</v>
      </c>
      <c r="E567" s="16" t="s">
        <v>1675</v>
      </c>
      <c r="F567" s="16" t="s">
        <v>260</v>
      </c>
      <c r="G567" s="16" t="s">
        <v>1556</v>
      </c>
      <c r="H567" s="16" t="s">
        <v>190</v>
      </c>
    </row>
    <row r="568" spans="1:8" x14ac:dyDescent="0.25">
      <c r="A568" s="11" t="s">
        <v>266</v>
      </c>
      <c r="B568" s="16" t="s">
        <v>267</v>
      </c>
      <c r="C568" s="16" t="s">
        <v>179</v>
      </c>
      <c r="D568" s="16" t="s">
        <v>1676</v>
      </c>
      <c r="E568" s="16" t="s">
        <v>1677</v>
      </c>
      <c r="F568" s="16" t="s">
        <v>260</v>
      </c>
      <c r="G568" s="16" t="s">
        <v>1556</v>
      </c>
      <c r="H568" s="16" t="s">
        <v>190</v>
      </c>
    </row>
    <row r="569" spans="1:8" x14ac:dyDescent="0.25">
      <c r="A569" s="11" t="s">
        <v>266</v>
      </c>
      <c r="B569" s="16" t="s">
        <v>267</v>
      </c>
      <c r="C569" s="16" t="s">
        <v>180</v>
      </c>
      <c r="D569" s="16" t="s">
        <v>1678</v>
      </c>
      <c r="E569" s="16" t="s">
        <v>1679</v>
      </c>
      <c r="F569" s="16" t="s">
        <v>260</v>
      </c>
      <c r="G569" s="16" t="s">
        <v>1556</v>
      </c>
      <c r="H569" s="16" t="s">
        <v>190</v>
      </c>
    </row>
    <row r="570" spans="1:8" x14ac:dyDescent="0.25">
      <c r="A570" s="11" t="s">
        <v>266</v>
      </c>
      <c r="B570" s="16" t="s">
        <v>267</v>
      </c>
      <c r="C570" s="16" t="s">
        <v>181</v>
      </c>
      <c r="D570" s="16" t="s">
        <v>1680</v>
      </c>
      <c r="E570" s="16" t="s">
        <v>1681</v>
      </c>
      <c r="F570" s="16" t="s">
        <v>260</v>
      </c>
      <c r="G570" s="16" t="s">
        <v>1556</v>
      </c>
      <c r="H570" s="16" t="s">
        <v>190</v>
      </c>
    </row>
    <row r="571" spans="1:8" x14ac:dyDescent="0.25">
      <c r="A571" s="11" t="s">
        <v>266</v>
      </c>
      <c r="B571" s="16" t="s">
        <v>267</v>
      </c>
      <c r="C571" s="16" t="s">
        <v>182</v>
      </c>
      <c r="D571" s="16" t="s">
        <v>1682</v>
      </c>
      <c r="E571" s="16" t="s">
        <v>1683</v>
      </c>
      <c r="F571" s="16" t="s">
        <v>260</v>
      </c>
      <c r="G571" s="16" t="s">
        <v>1556</v>
      </c>
      <c r="H571" s="16" t="s">
        <v>190</v>
      </c>
    </row>
    <row r="572" spans="1:8" x14ac:dyDescent="0.25">
      <c r="A572" s="11" t="s">
        <v>266</v>
      </c>
      <c r="B572" s="16" t="s">
        <v>267</v>
      </c>
      <c r="C572" s="16" t="s">
        <v>183</v>
      </c>
      <c r="D572" s="16" t="s">
        <v>1684</v>
      </c>
      <c r="E572" s="16" t="s">
        <v>1685</v>
      </c>
      <c r="F572" s="16" t="s">
        <v>260</v>
      </c>
      <c r="G572" s="16" t="s">
        <v>1556</v>
      </c>
      <c r="H572" s="16" t="s">
        <v>190</v>
      </c>
    </row>
    <row r="573" spans="1:8" x14ac:dyDescent="0.25">
      <c r="A573" s="11" t="s">
        <v>266</v>
      </c>
      <c r="B573" s="16" t="s">
        <v>267</v>
      </c>
      <c r="C573" s="16" t="s">
        <v>1686</v>
      </c>
      <c r="D573" s="16" t="s">
        <v>1687</v>
      </c>
      <c r="E573" s="16" t="s">
        <v>1688</v>
      </c>
      <c r="F573" s="16" t="s">
        <v>260</v>
      </c>
      <c r="G573" s="16" t="s">
        <v>1556</v>
      </c>
      <c r="H573" s="16" t="s">
        <v>190</v>
      </c>
    </row>
    <row r="574" spans="1:8" x14ac:dyDescent="0.25">
      <c r="A574" s="11" t="s">
        <v>266</v>
      </c>
      <c r="B574" s="16" t="s">
        <v>267</v>
      </c>
      <c r="C574" s="16" t="s">
        <v>1689</v>
      </c>
      <c r="D574" s="16" t="s">
        <v>1690</v>
      </c>
      <c r="E574" s="16" t="s">
        <v>1691</v>
      </c>
      <c r="F574" s="16" t="s">
        <v>260</v>
      </c>
      <c r="G574" s="16" t="s">
        <v>1556</v>
      </c>
      <c r="H574" s="16" t="s">
        <v>190</v>
      </c>
    </row>
    <row r="575" spans="1:8" x14ac:dyDescent="0.25">
      <c r="A575" s="11" t="s">
        <v>266</v>
      </c>
      <c r="B575" s="16" t="s">
        <v>267</v>
      </c>
      <c r="C575" s="16" t="s">
        <v>1692</v>
      </c>
      <c r="D575" s="16" t="s">
        <v>1693</v>
      </c>
      <c r="E575" s="16" t="s">
        <v>1694</v>
      </c>
      <c r="F575" s="16" t="s">
        <v>260</v>
      </c>
      <c r="G575" s="16" t="s">
        <v>1556</v>
      </c>
      <c r="H575" s="16" t="s">
        <v>190</v>
      </c>
    </row>
    <row r="576" spans="1:8" x14ac:dyDescent="0.25">
      <c r="A576" s="11" t="s">
        <v>266</v>
      </c>
      <c r="B576" s="16" t="s">
        <v>267</v>
      </c>
      <c r="C576" s="16" t="s">
        <v>1695</v>
      </c>
      <c r="D576" s="16" t="s">
        <v>1696</v>
      </c>
      <c r="E576" s="16" t="s">
        <v>1697</v>
      </c>
      <c r="F576" s="16" t="s">
        <v>260</v>
      </c>
      <c r="G576" s="16" t="s">
        <v>1556</v>
      </c>
      <c r="H576" s="16" t="s">
        <v>190</v>
      </c>
    </row>
    <row r="577" spans="1:8" x14ac:dyDescent="0.25">
      <c r="A577" s="11" t="s">
        <v>266</v>
      </c>
      <c r="B577" s="16" t="s">
        <v>267</v>
      </c>
      <c r="C577" s="16" t="s">
        <v>1698</v>
      </c>
      <c r="D577" s="16" t="s">
        <v>1699</v>
      </c>
      <c r="E577" s="16" t="s">
        <v>1700</v>
      </c>
      <c r="F577" s="16" t="s">
        <v>260</v>
      </c>
      <c r="G577" s="16" t="s">
        <v>1556</v>
      </c>
      <c r="H577" s="16" t="s">
        <v>190</v>
      </c>
    </row>
    <row r="578" spans="1:8" x14ac:dyDescent="0.25">
      <c r="A578" s="11" t="s">
        <v>266</v>
      </c>
      <c r="B578" s="16" t="s">
        <v>267</v>
      </c>
      <c r="C578" s="16" t="s">
        <v>184</v>
      </c>
      <c r="D578" s="16" t="s">
        <v>1701</v>
      </c>
      <c r="E578" s="16" t="s">
        <v>1702</v>
      </c>
      <c r="F578" s="16" t="s">
        <v>260</v>
      </c>
      <c r="G578" s="16" t="s">
        <v>1556</v>
      </c>
      <c r="H578" s="16" t="s">
        <v>190</v>
      </c>
    </row>
    <row r="579" spans="1:8" x14ac:dyDescent="0.25">
      <c r="A579" s="11" t="s">
        <v>266</v>
      </c>
      <c r="B579" s="16" t="s">
        <v>267</v>
      </c>
      <c r="C579" s="16" t="s">
        <v>185</v>
      </c>
      <c r="D579" s="16" t="s">
        <v>1703</v>
      </c>
      <c r="E579" s="16" t="s">
        <v>1704</v>
      </c>
      <c r="F579" s="16" t="s">
        <v>260</v>
      </c>
      <c r="G579" s="16" t="s">
        <v>1556</v>
      </c>
      <c r="H579" s="16" t="s">
        <v>190</v>
      </c>
    </row>
    <row r="580" spans="1:8" x14ac:dyDescent="0.25">
      <c r="A580" s="11" t="s">
        <v>266</v>
      </c>
      <c r="B580" s="16" t="s">
        <v>267</v>
      </c>
      <c r="C580" s="16" t="s">
        <v>1705</v>
      </c>
      <c r="D580" s="16" t="s">
        <v>1706</v>
      </c>
      <c r="E580" s="16" t="s">
        <v>1707</v>
      </c>
      <c r="F580" s="16" t="s">
        <v>260</v>
      </c>
      <c r="G580" s="16" t="s">
        <v>1556</v>
      </c>
      <c r="H580" s="16" t="s">
        <v>190</v>
      </c>
    </row>
    <row r="581" spans="1:8" x14ac:dyDescent="0.25">
      <c r="A581" s="11" t="s">
        <v>266</v>
      </c>
      <c r="B581" s="16" t="s">
        <v>267</v>
      </c>
      <c r="C581" s="16" t="s">
        <v>1708</v>
      </c>
      <c r="D581" s="16" t="s">
        <v>1709</v>
      </c>
      <c r="E581" s="16" t="s">
        <v>1710</v>
      </c>
      <c r="F581" s="16" t="s">
        <v>260</v>
      </c>
      <c r="G581" s="16" t="s">
        <v>1556</v>
      </c>
      <c r="H581" s="16" t="s">
        <v>190</v>
      </c>
    </row>
    <row r="582" spans="1:8" x14ac:dyDescent="0.25">
      <c r="A582" s="11" t="s">
        <v>266</v>
      </c>
      <c r="B582" s="16" t="s">
        <v>267</v>
      </c>
      <c r="C582" s="16" t="s">
        <v>1711</v>
      </c>
      <c r="D582" s="16" t="s">
        <v>1712</v>
      </c>
      <c r="E582" s="16" t="s">
        <v>1713</v>
      </c>
      <c r="F582" s="16" t="s">
        <v>260</v>
      </c>
      <c r="G582" s="16" t="s">
        <v>1556</v>
      </c>
      <c r="H582" s="16" t="s">
        <v>190</v>
      </c>
    </row>
    <row r="583" spans="1:8" x14ac:dyDescent="0.25">
      <c r="A583" s="11" t="s">
        <v>266</v>
      </c>
      <c r="B583" s="16" t="s">
        <v>267</v>
      </c>
      <c r="C583" s="16" t="s">
        <v>1714</v>
      </c>
      <c r="D583" s="16" t="s">
        <v>1715</v>
      </c>
      <c r="E583" s="16" t="s">
        <v>1716</v>
      </c>
      <c r="F583" s="16" t="s">
        <v>260</v>
      </c>
      <c r="G583" s="16" t="s">
        <v>1556</v>
      </c>
      <c r="H583" s="16" t="s">
        <v>190</v>
      </c>
    </row>
    <row r="584" spans="1:8" x14ac:dyDescent="0.25">
      <c r="A584" s="11" t="s">
        <v>266</v>
      </c>
      <c r="B584" s="16" t="s">
        <v>267</v>
      </c>
      <c r="C584" s="16" t="s">
        <v>1717</v>
      </c>
      <c r="D584" s="16" t="s">
        <v>1718</v>
      </c>
      <c r="E584" s="16" t="s">
        <v>1719</v>
      </c>
      <c r="F584" s="16" t="s">
        <v>260</v>
      </c>
      <c r="G584" s="16" t="s">
        <v>1556</v>
      </c>
      <c r="H584" s="16" t="s">
        <v>190</v>
      </c>
    </row>
    <row r="585" spans="1:8" x14ac:dyDescent="0.25">
      <c r="A585" s="11" t="s">
        <v>266</v>
      </c>
      <c r="B585" s="16" t="s">
        <v>267</v>
      </c>
      <c r="C585" s="16" t="s">
        <v>1720</v>
      </c>
      <c r="D585" s="16" t="s">
        <v>1721</v>
      </c>
      <c r="E585" s="16" t="s">
        <v>1722</v>
      </c>
      <c r="F585" s="16" t="s">
        <v>260</v>
      </c>
      <c r="G585" s="16" t="s">
        <v>1556</v>
      </c>
      <c r="H585" s="16" t="s">
        <v>190</v>
      </c>
    </row>
    <row r="586" spans="1:8" x14ac:dyDescent="0.25">
      <c r="A586" s="11" t="s">
        <v>266</v>
      </c>
      <c r="B586" s="16" t="s">
        <v>267</v>
      </c>
      <c r="C586" s="16" t="s">
        <v>1723</v>
      </c>
      <c r="D586" s="16" t="s">
        <v>1724</v>
      </c>
      <c r="E586" s="16" t="s">
        <v>1725</v>
      </c>
      <c r="F586" s="16" t="s">
        <v>260</v>
      </c>
      <c r="G586" s="16" t="s">
        <v>1556</v>
      </c>
      <c r="H586" s="16" t="s">
        <v>190</v>
      </c>
    </row>
    <row r="587" spans="1:8" x14ac:dyDescent="0.25">
      <c r="A587" s="11" t="s">
        <v>266</v>
      </c>
      <c r="B587" s="16" t="s">
        <v>267</v>
      </c>
      <c r="C587" s="16" t="s">
        <v>1726</v>
      </c>
      <c r="D587" s="16" t="s">
        <v>1727</v>
      </c>
      <c r="E587" s="16" t="s">
        <v>1728</v>
      </c>
      <c r="F587" s="16" t="s">
        <v>260</v>
      </c>
      <c r="G587" s="16" t="s">
        <v>1556</v>
      </c>
      <c r="H587" s="16" t="s">
        <v>190</v>
      </c>
    </row>
    <row r="588" spans="1:8" x14ac:dyDescent="0.25">
      <c r="A588" s="11" t="s">
        <v>266</v>
      </c>
      <c r="B588" s="16" t="s">
        <v>267</v>
      </c>
      <c r="C588" s="16" t="s">
        <v>1729</v>
      </c>
      <c r="D588" s="16" t="s">
        <v>1730</v>
      </c>
      <c r="E588" s="16" t="s">
        <v>1731</v>
      </c>
      <c r="F588" s="16" t="s">
        <v>260</v>
      </c>
      <c r="G588" s="16" t="s">
        <v>1556</v>
      </c>
      <c r="H588" s="16" t="s">
        <v>190</v>
      </c>
    </row>
    <row r="589" spans="1:8" x14ac:dyDescent="0.25">
      <c r="A589" s="11" t="s">
        <v>266</v>
      </c>
      <c r="B589" s="16" t="s">
        <v>267</v>
      </c>
      <c r="C589" s="16" t="s">
        <v>1732</v>
      </c>
      <c r="D589" s="16" t="s">
        <v>1733</v>
      </c>
      <c r="E589" s="16" t="s">
        <v>1734</v>
      </c>
      <c r="F589" s="16" t="s">
        <v>260</v>
      </c>
      <c r="G589" s="16" t="s">
        <v>1556</v>
      </c>
      <c r="H589" s="16" t="s">
        <v>190</v>
      </c>
    </row>
    <row r="590" spans="1:8" x14ac:dyDescent="0.25">
      <c r="A590" s="11" t="s">
        <v>266</v>
      </c>
      <c r="B590" s="16" t="s">
        <v>267</v>
      </c>
      <c r="C590" s="16" t="s">
        <v>1735</v>
      </c>
      <c r="D590" s="16" t="s">
        <v>1736</v>
      </c>
      <c r="E590" s="16" t="s">
        <v>1737</v>
      </c>
      <c r="F590" s="16" t="s">
        <v>260</v>
      </c>
      <c r="G590" s="16" t="s">
        <v>1556</v>
      </c>
      <c r="H590" s="16" t="s">
        <v>190</v>
      </c>
    </row>
    <row r="591" spans="1:8" x14ac:dyDescent="0.25">
      <c r="A591" s="11" t="s">
        <v>266</v>
      </c>
      <c r="B591" s="16" t="s">
        <v>267</v>
      </c>
      <c r="C591" s="16" t="s">
        <v>1738</v>
      </c>
      <c r="D591" s="16" t="s">
        <v>1739</v>
      </c>
      <c r="E591" s="16" t="s">
        <v>1740</v>
      </c>
      <c r="F591" s="16" t="s">
        <v>260</v>
      </c>
      <c r="G591" s="16" t="s">
        <v>1556</v>
      </c>
      <c r="H591" s="16" t="s">
        <v>190</v>
      </c>
    </row>
    <row r="592" spans="1:8" x14ac:dyDescent="0.25">
      <c r="A592" s="11" t="s">
        <v>266</v>
      </c>
      <c r="B592" s="16" t="s">
        <v>267</v>
      </c>
      <c r="C592" s="16" t="s">
        <v>1741</v>
      </c>
      <c r="D592" s="16" t="s">
        <v>1742</v>
      </c>
      <c r="E592" s="16" t="s">
        <v>1743</v>
      </c>
      <c r="F592" s="16" t="s">
        <v>260</v>
      </c>
      <c r="G592" s="16" t="s">
        <v>1556</v>
      </c>
      <c r="H592" s="16" t="s">
        <v>190</v>
      </c>
    </row>
    <row r="593" spans="1:8" x14ac:dyDescent="0.25">
      <c r="A593" s="11" t="s">
        <v>266</v>
      </c>
      <c r="B593" s="16" t="s">
        <v>267</v>
      </c>
      <c r="C593" s="16" t="s">
        <v>1744</v>
      </c>
      <c r="D593" s="16" t="s">
        <v>1745</v>
      </c>
      <c r="E593" s="16" t="s">
        <v>1746</v>
      </c>
      <c r="F593" s="16" t="s">
        <v>260</v>
      </c>
      <c r="G593" s="16" t="s">
        <v>1556</v>
      </c>
      <c r="H593" s="16" t="s">
        <v>190</v>
      </c>
    </row>
    <row r="594" spans="1:8" x14ac:dyDescent="0.25">
      <c r="A594" s="11" t="s">
        <v>266</v>
      </c>
      <c r="B594" s="16" t="s">
        <v>267</v>
      </c>
      <c r="C594" s="16" t="s">
        <v>106</v>
      </c>
      <c r="D594" s="16" t="s">
        <v>1747</v>
      </c>
      <c r="E594" s="16" t="s">
        <v>345</v>
      </c>
      <c r="F594" s="16" t="s">
        <v>260</v>
      </c>
      <c r="G594" s="16" t="s">
        <v>1556</v>
      </c>
      <c r="H594" s="16" t="s">
        <v>190</v>
      </c>
    </row>
    <row r="595" spans="1:8" x14ac:dyDescent="0.25">
      <c r="A595" s="11" t="s">
        <v>266</v>
      </c>
      <c r="B595" s="16" t="s">
        <v>267</v>
      </c>
      <c r="C595" s="16" t="s">
        <v>1748</v>
      </c>
      <c r="D595" s="16" t="s">
        <v>1749</v>
      </c>
      <c r="E595" s="16" t="s">
        <v>1750</v>
      </c>
      <c r="F595" s="16" t="s">
        <v>260</v>
      </c>
      <c r="G595" s="16" t="s">
        <v>1556</v>
      </c>
      <c r="H595" s="16" t="s">
        <v>190</v>
      </c>
    </row>
    <row r="596" spans="1:8" x14ac:dyDescent="0.25">
      <c r="A596" s="11" t="s">
        <v>266</v>
      </c>
      <c r="B596" s="16" t="s">
        <v>267</v>
      </c>
      <c r="C596" s="16" t="s">
        <v>1751</v>
      </c>
      <c r="D596" s="16" t="s">
        <v>1752</v>
      </c>
      <c r="E596" s="16" t="s">
        <v>1753</v>
      </c>
      <c r="F596" s="16" t="s">
        <v>260</v>
      </c>
      <c r="G596" s="16" t="s">
        <v>1556</v>
      </c>
      <c r="H596" s="16" t="s">
        <v>190</v>
      </c>
    </row>
    <row r="597" spans="1:8" x14ac:dyDescent="0.25">
      <c r="A597" s="11" t="s">
        <v>266</v>
      </c>
      <c r="B597" s="16" t="s">
        <v>267</v>
      </c>
      <c r="C597" s="16" t="s">
        <v>1754</v>
      </c>
      <c r="D597" s="16" t="s">
        <v>1755</v>
      </c>
      <c r="E597" s="16" t="s">
        <v>1756</v>
      </c>
      <c r="F597" s="16" t="s">
        <v>260</v>
      </c>
      <c r="G597" s="16" t="s">
        <v>1556</v>
      </c>
      <c r="H597" s="16" t="s">
        <v>190</v>
      </c>
    </row>
    <row r="598" spans="1:8" x14ac:dyDescent="0.25">
      <c r="A598" s="11" t="s">
        <v>266</v>
      </c>
      <c r="B598" s="16" t="s">
        <v>267</v>
      </c>
      <c r="C598" s="16" t="s">
        <v>1757</v>
      </c>
      <c r="D598" s="16" t="s">
        <v>1758</v>
      </c>
      <c r="E598" s="16" t="s">
        <v>1759</v>
      </c>
      <c r="F598" s="16" t="s">
        <v>260</v>
      </c>
      <c r="G598" s="16" t="s">
        <v>1556</v>
      </c>
      <c r="H598" s="16" t="s">
        <v>190</v>
      </c>
    </row>
    <row r="599" spans="1:8" x14ac:dyDescent="0.25">
      <c r="A599" s="11" t="s">
        <v>266</v>
      </c>
      <c r="B599" s="16" t="s">
        <v>267</v>
      </c>
      <c r="C599" s="16" t="s">
        <v>1760</v>
      </c>
      <c r="D599" s="16" t="s">
        <v>1761</v>
      </c>
      <c r="E599" s="16" t="s">
        <v>1762</v>
      </c>
      <c r="F599" s="16" t="s">
        <v>260</v>
      </c>
      <c r="G599" s="16" t="s">
        <v>1556</v>
      </c>
      <c r="H599" s="16" t="s">
        <v>190</v>
      </c>
    </row>
    <row r="600" spans="1:8" x14ac:dyDescent="0.25">
      <c r="A600" s="11" t="s">
        <v>266</v>
      </c>
      <c r="B600" s="16" t="s">
        <v>267</v>
      </c>
      <c r="C600" s="16" t="s">
        <v>1763</v>
      </c>
      <c r="D600" s="16" t="s">
        <v>1764</v>
      </c>
      <c r="E600" s="16" t="s">
        <v>1765</v>
      </c>
      <c r="F600" s="16" t="s">
        <v>260</v>
      </c>
      <c r="G600" s="16" t="s">
        <v>1556</v>
      </c>
      <c r="H600" s="16" t="s">
        <v>190</v>
      </c>
    </row>
    <row r="601" spans="1:8" x14ac:dyDescent="0.25">
      <c r="A601" s="11" t="s">
        <v>266</v>
      </c>
      <c r="B601" s="16" t="s">
        <v>267</v>
      </c>
      <c r="C601" s="16" t="s">
        <v>1766</v>
      </c>
      <c r="D601" s="16" t="s">
        <v>1767</v>
      </c>
      <c r="E601" s="16" t="s">
        <v>1768</v>
      </c>
      <c r="F601" s="16" t="s">
        <v>260</v>
      </c>
      <c r="G601" s="16" t="s">
        <v>1556</v>
      </c>
      <c r="H601" s="16" t="s">
        <v>190</v>
      </c>
    </row>
    <row r="602" spans="1:8" x14ac:dyDescent="0.25">
      <c r="A602" s="11" t="s">
        <v>266</v>
      </c>
      <c r="B602" s="16" t="s">
        <v>267</v>
      </c>
      <c r="C602" s="16" t="s">
        <v>1566</v>
      </c>
      <c r="D602" s="16" t="s">
        <v>1769</v>
      </c>
      <c r="E602" s="16" t="s">
        <v>1568</v>
      </c>
      <c r="F602" s="16" t="s">
        <v>260</v>
      </c>
      <c r="G602" s="16" t="s">
        <v>1556</v>
      </c>
      <c r="H602" s="16" t="s">
        <v>190</v>
      </c>
    </row>
    <row r="603" spans="1:8" x14ac:dyDescent="0.25">
      <c r="A603" s="11" t="s">
        <v>266</v>
      </c>
      <c r="B603" s="16" t="s">
        <v>267</v>
      </c>
      <c r="C603" s="16" t="s">
        <v>1770</v>
      </c>
      <c r="D603" s="16" t="s">
        <v>1771</v>
      </c>
      <c r="E603" s="16" t="s">
        <v>1772</v>
      </c>
      <c r="F603" s="16" t="s">
        <v>260</v>
      </c>
      <c r="G603" s="16" t="s">
        <v>1556</v>
      </c>
      <c r="H603" s="16" t="s">
        <v>190</v>
      </c>
    </row>
    <row r="604" spans="1:8" x14ac:dyDescent="0.25">
      <c r="A604" s="11" t="s">
        <v>266</v>
      </c>
      <c r="B604" s="16" t="s">
        <v>267</v>
      </c>
      <c r="C604" s="16" t="s">
        <v>1773</v>
      </c>
      <c r="D604" s="16" t="s">
        <v>1774</v>
      </c>
      <c r="E604" s="16" t="s">
        <v>1775</v>
      </c>
      <c r="F604" s="16" t="s">
        <v>260</v>
      </c>
      <c r="G604" s="16" t="s">
        <v>1556</v>
      </c>
      <c r="H604" s="16" t="s">
        <v>190</v>
      </c>
    </row>
    <row r="605" spans="1:8" x14ac:dyDescent="0.25">
      <c r="A605" s="11" t="s">
        <v>266</v>
      </c>
      <c r="B605" s="16" t="s">
        <v>1776</v>
      </c>
      <c r="C605" s="16" t="s">
        <v>186</v>
      </c>
      <c r="D605" s="16" t="s">
        <v>1777</v>
      </c>
      <c r="E605" s="16" t="s">
        <v>1778</v>
      </c>
      <c r="F605" s="16" t="s">
        <v>260</v>
      </c>
      <c r="G605" s="16" t="s">
        <v>1779</v>
      </c>
      <c r="H605" s="16" t="s">
        <v>190</v>
      </c>
    </row>
    <row r="606" spans="1:8" x14ac:dyDescent="0.25">
      <c r="A606" s="11" t="s">
        <v>266</v>
      </c>
      <c r="B606" s="16" t="s">
        <v>1776</v>
      </c>
      <c r="C606" s="16" t="s">
        <v>187</v>
      </c>
      <c r="D606" s="16" t="s">
        <v>1780</v>
      </c>
      <c r="E606" s="16" t="s">
        <v>1781</v>
      </c>
      <c r="F606" s="16" t="s">
        <v>260</v>
      </c>
      <c r="G606" s="16" t="s">
        <v>1779</v>
      </c>
      <c r="H606" s="16" t="s">
        <v>190</v>
      </c>
    </row>
    <row r="607" spans="1:8" x14ac:dyDescent="0.25">
      <c r="A607" s="11" t="s">
        <v>266</v>
      </c>
      <c r="B607" s="16" t="s">
        <v>1776</v>
      </c>
      <c r="C607" s="16" t="s">
        <v>188</v>
      </c>
      <c r="D607" s="16" t="s">
        <v>1782</v>
      </c>
      <c r="E607" s="16" t="s">
        <v>1783</v>
      </c>
      <c r="F607" s="16" t="s">
        <v>260</v>
      </c>
      <c r="G607" s="16" t="s">
        <v>1779</v>
      </c>
      <c r="H607" s="16" t="s">
        <v>190</v>
      </c>
    </row>
    <row r="608" spans="1:8" x14ac:dyDescent="0.25">
      <c r="A608" s="11" t="s">
        <v>266</v>
      </c>
      <c r="B608" s="16" t="s">
        <v>1776</v>
      </c>
      <c r="C608" s="16" t="s">
        <v>1784</v>
      </c>
      <c r="D608" s="16" t="s">
        <v>1785</v>
      </c>
      <c r="E608" s="16" t="s">
        <v>1786</v>
      </c>
      <c r="F608" s="16" t="s">
        <v>260</v>
      </c>
      <c r="G608" s="16" t="s">
        <v>1779</v>
      </c>
      <c r="H608" s="16" t="s">
        <v>190</v>
      </c>
    </row>
    <row r="609" spans="1:8" x14ac:dyDescent="0.25">
      <c r="A609" s="11" t="s">
        <v>266</v>
      </c>
      <c r="B609" s="16" t="s">
        <v>1776</v>
      </c>
      <c r="C609" s="16" t="s">
        <v>1787</v>
      </c>
      <c r="D609" s="16" t="s">
        <v>1788</v>
      </c>
      <c r="E609" s="16" t="s">
        <v>1789</v>
      </c>
      <c r="F609" s="16" t="s">
        <v>260</v>
      </c>
      <c r="G609" s="16" t="s">
        <v>1779</v>
      </c>
      <c r="H609" s="16" t="s">
        <v>190</v>
      </c>
    </row>
    <row r="610" spans="1:8" x14ac:dyDescent="0.25">
      <c r="A610" s="11" t="s">
        <v>266</v>
      </c>
      <c r="B610" s="16" t="s">
        <v>1776</v>
      </c>
      <c r="C610" s="16" t="s">
        <v>1790</v>
      </c>
      <c r="D610" s="16" t="s">
        <v>1791</v>
      </c>
      <c r="E610" s="16" t="s">
        <v>1792</v>
      </c>
      <c r="F610" s="16" t="s">
        <v>260</v>
      </c>
      <c r="G610" s="16" t="s">
        <v>1779</v>
      </c>
      <c r="H610" s="16" t="s">
        <v>190</v>
      </c>
    </row>
    <row r="611" spans="1:8" x14ac:dyDescent="0.25">
      <c r="A611" s="11" t="s">
        <v>266</v>
      </c>
      <c r="B611" s="16" t="s">
        <v>1776</v>
      </c>
      <c r="C611" s="16" t="s">
        <v>1793</v>
      </c>
      <c r="D611" s="16" t="s">
        <v>1794</v>
      </c>
      <c r="E611" s="16" t="s">
        <v>1795</v>
      </c>
      <c r="F611" s="16" t="s">
        <v>260</v>
      </c>
      <c r="G611" s="16" t="s">
        <v>1779</v>
      </c>
      <c r="H611" s="16" t="s">
        <v>190</v>
      </c>
    </row>
    <row r="612" spans="1:8" x14ac:dyDescent="0.25">
      <c r="A612" s="11" t="s">
        <v>266</v>
      </c>
      <c r="B612" s="16" t="s">
        <v>1776</v>
      </c>
      <c r="C612" s="16" t="s">
        <v>1796</v>
      </c>
      <c r="D612" s="16" t="s">
        <v>1797</v>
      </c>
      <c r="E612" s="16" t="s">
        <v>1798</v>
      </c>
      <c r="F612" s="16" t="s">
        <v>260</v>
      </c>
      <c r="G612" s="16" t="s">
        <v>1779</v>
      </c>
      <c r="H612" s="16" t="s">
        <v>190</v>
      </c>
    </row>
    <row r="613" spans="1:8" x14ac:dyDescent="0.25">
      <c r="A613" s="11" t="s">
        <v>266</v>
      </c>
      <c r="B613" s="16" t="s">
        <v>1776</v>
      </c>
      <c r="C613" s="16" t="s">
        <v>1799</v>
      </c>
      <c r="D613" s="16" t="s">
        <v>1800</v>
      </c>
      <c r="E613" s="16" t="s">
        <v>1801</v>
      </c>
      <c r="F613" s="16" t="s">
        <v>260</v>
      </c>
      <c r="G613" s="16" t="s">
        <v>1779</v>
      </c>
      <c r="H613" s="16" t="s">
        <v>190</v>
      </c>
    </row>
    <row r="614" spans="1:8" x14ac:dyDescent="0.25">
      <c r="A614" s="11" t="s">
        <v>266</v>
      </c>
      <c r="B614" s="16" t="s">
        <v>1776</v>
      </c>
      <c r="C614" s="16" t="s">
        <v>1802</v>
      </c>
      <c r="D614" s="16" t="s">
        <v>1803</v>
      </c>
      <c r="E614" s="16" t="s">
        <v>1804</v>
      </c>
      <c r="F614" s="16" t="s">
        <v>260</v>
      </c>
      <c r="G614" s="16" t="s">
        <v>1779</v>
      </c>
      <c r="H614" s="16" t="s">
        <v>190</v>
      </c>
    </row>
    <row r="615" spans="1:8" x14ac:dyDescent="0.25">
      <c r="A615" s="11" t="s">
        <v>266</v>
      </c>
      <c r="B615" s="16" t="s">
        <v>1776</v>
      </c>
      <c r="C615" s="16" t="s">
        <v>1805</v>
      </c>
      <c r="D615" s="16" t="s">
        <v>1806</v>
      </c>
      <c r="E615" s="16" t="s">
        <v>1807</v>
      </c>
      <c r="F615" s="16" t="s">
        <v>260</v>
      </c>
      <c r="G615" s="16" t="s">
        <v>1779</v>
      </c>
      <c r="H615" s="16" t="s">
        <v>190</v>
      </c>
    </row>
    <row r="616" spans="1:8" x14ac:dyDescent="0.25">
      <c r="A616" s="11" t="s">
        <v>266</v>
      </c>
      <c r="B616" s="16" t="s">
        <v>1776</v>
      </c>
      <c r="C616" s="16" t="s">
        <v>1808</v>
      </c>
      <c r="D616" s="16" t="s">
        <v>1809</v>
      </c>
      <c r="E616" s="16" t="s">
        <v>1810</v>
      </c>
      <c r="F616" s="16" t="s">
        <v>260</v>
      </c>
      <c r="G616" s="16" t="s">
        <v>1779</v>
      </c>
      <c r="H616" s="16" t="s">
        <v>190</v>
      </c>
    </row>
    <row r="617" spans="1:8" x14ac:dyDescent="0.25">
      <c r="A617" s="11" t="s">
        <v>266</v>
      </c>
      <c r="B617" s="16" t="s">
        <v>1776</v>
      </c>
      <c r="C617" s="16" t="s">
        <v>1811</v>
      </c>
      <c r="D617" s="16" t="s">
        <v>1812</v>
      </c>
      <c r="E617" s="16" t="s">
        <v>1813</v>
      </c>
      <c r="F617" s="16" t="s">
        <v>260</v>
      </c>
      <c r="G617" s="16" t="s">
        <v>1779</v>
      </c>
      <c r="H617" s="16" t="s">
        <v>190</v>
      </c>
    </row>
    <row r="618" spans="1:8" x14ac:dyDescent="0.25">
      <c r="A618" s="11" t="s">
        <v>266</v>
      </c>
      <c r="B618" s="16" t="s">
        <v>1776</v>
      </c>
      <c r="C618" s="16" t="s">
        <v>1814</v>
      </c>
      <c r="D618" s="16" t="s">
        <v>1815</v>
      </c>
      <c r="E618" s="16" t="s">
        <v>1816</v>
      </c>
      <c r="F618" s="16" t="s">
        <v>260</v>
      </c>
      <c r="G618" s="16" t="s">
        <v>1779</v>
      </c>
      <c r="H618" s="16" t="s">
        <v>190</v>
      </c>
    </row>
    <row r="619" spans="1:8" x14ac:dyDescent="0.25">
      <c r="A619" s="11" t="s">
        <v>266</v>
      </c>
      <c r="B619" s="16" t="s">
        <v>1776</v>
      </c>
      <c r="C619" s="16" t="s">
        <v>1817</v>
      </c>
      <c r="D619" s="16" t="s">
        <v>1818</v>
      </c>
      <c r="E619" s="16" t="s">
        <v>1819</v>
      </c>
      <c r="F619" s="16" t="s">
        <v>260</v>
      </c>
      <c r="G619" s="16" t="s">
        <v>1779</v>
      </c>
      <c r="H619" s="16" t="s">
        <v>190</v>
      </c>
    </row>
    <row r="620" spans="1:8" x14ac:dyDescent="0.25">
      <c r="A620" s="11" t="s">
        <v>266</v>
      </c>
      <c r="B620" s="16" t="s">
        <v>1776</v>
      </c>
      <c r="C620" s="16" t="s">
        <v>1820</v>
      </c>
      <c r="D620" s="16" t="s">
        <v>1821</v>
      </c>
      <c r="E620" s="16" t="s">
        <v>1822</v>
      </c>
      <c r="F620" s="16" t="s">
        <v>260</v>
      </c>
      <c r="G620" s="16" t="s">
        <v>1779</v>
      </c>
      <c r="H620" s="16" t="s">
        <v>190</v>
      </c>
    </row>
    <row r="621" spans="1:8" x14ac:dyDescent="0.25">
      <c r="A621" s="11" t="s">
        <v>266</v>
      </c>
      <c r="B621" s="16" t="s">
        <v>1776</v>
      </c>
      <c r="C621" s="16" t="s">
        <v>1823</v>
      </c>
      <c r="D621" s="16" t="s">
        <v>1824</v>
      </c>
      <c r="E621" s="16" t="s">
        <v>1825</v>
      </c>
      <c r="F621" s="16" t="s">
        <v>260</v>
      </c>
      <c r="G621" s="16" t="s">
        <v>1779</v>
      </c>
      <c r="H621" s="16" t="s">
        <v>190</v>
      </c>
    </row>
    <row r="622" spans="1:8" x14ac:dyDescent="0.25">
      <c r="A622" s="11" t="s">
        <v>266</v>
      </c>
      <c r="B622" s="16" t="s">
        <v>1776</v>
      </c>
      <c r="C622" s="16" t="s">
        <v>1826</v>
      </c>
      <c r="D622" s="16" t="s">
        <v>1827</v>
      </c>
      <c r="E622" s="16" t="s">
        <v>1828</v>
      </c>
      <c r="F622" s="16" t="s">
        <v>260</v>
      </c>
      <c r="G622" s="16" t="s">
        <v>1779</v>
      </c>
      <c r="H622" s="16" t="s">
        <v>190</v>
      </c>
    </row>
    <row r="623" spans="1:8" x14ac:dyDescent="0.25">
      <c r="A623" s="11" t="s">
        <v>266</v>
      </c>
      <c r="B623" s="16" t="s">
        <v>1776</v>
      </c>
      <c r="C623" s="16" t="s">
        <v>1829</v>
      </c>
      <c r="D623" s="16" t="s">
        <v>1830</v>
      </c>
      <c r="E623" s="16" t="s">
        <v>1831</v>
      </c>
      <c r="F623" s="16" t="s">
        <v>260</v>
      </c>
      <c r="G623" s="16" t="s">
        <v>1779</v>
      </c>
      <c r="H623" s="16" t="s">
        <v>190</v>
      </c>
    </row>
    <row r="624" spans="1:8" x14ac:dyDescent="0.25">
      <c r="A624" s="11" t="s">
        <v>266</v>
      </c>
      <c r="B624" s="16" t="s">
        <v>1776</v>
      </c>
      <c r="C624" s="16" t="s">
        <v>1832</v>
      </c>
      <c r="D624" s="16" t="s">
        <v>1833</v>
      </c>
      <c r="E624" s="16" t="s">
        <v>1834</v>
      </c>
      <c r="F624" s="16" t="s">
        <v>260</v>
      </c>
      <c r="G624" s="16" t="s">
        <v>1779</v>
      </c>
      <c r="H624" s="16" t="s">
        <v>190</v>
      </c>
    </row>
    <row r="625" spans="1:8" x14ac:dyDescent="0.25">
      <c r="A625" s="11" t="s">
        <v>266</v>
      </c>
      <c r="B625" s="16" t="s">
        <v>1776</v>
      </c>
      <c r="C625" s="16" t="s">
        <v>1835</v>
      </c>
      <c r="D625" s="16" t="s">
        <v>1836</v>
      </c>
      <c r="E625" s="16" t="s">
        <v>1837</v>
      </c>
      <c r="F625" s="16" t="s">
        <v>260</v>
      </c>
      <c r="G625" s="16" t="s">
        <v>1779</v>
      </c>
      <c r="H625" s="16" t="s">
        <v>190</v>
      </c>
    </row>
    <row r="626" spans="1:8" x14ac:dyDescent="0.25">
      <c r="A626" s="11" t="s">
        <v>266</v>
      </c>
      <c r="B626" s="16" t="s">
        <v>1776</v>
      </c>
      <c r="C626" s="16" t="s">
        <v>1838</v>
      </c>
      <c r="D626" s="16" t="s">
        <v>1839</v>
      </c>
      <c r="E626" s="16" t="s">
        <v>1840</v>
      </c>
      <c r="F626" s="16" t="s">
        <v>260</v>
      </c>
      <c r="G626" s="16" t="s">
        <v>1779</v>
      </c>
      <c r="H626" s="16" t="s">
        <v>190</v>
      </c>
    </row>
    <row r="627" spans="1:8" x14ac:dyDescent="0.25">
      <c r="A627" s="11" t="s">
        <v>266</v>
      </c>
      <c r="B627" s="16" t="s">
        <v>1776</v>
      </c>
      <c r="C627" s="16" t="s">
        <v>1841</v>
      </c>
      <c r="D627" s="16" t="s">
        <v>1842</v>
      </c>
      <c r="E627" s="16" t="s">
        <v>1843</v>
      </c>
      <c r="F627" s="16" t="s">
        <v>260</v>
      </c>
      <c r="G627" s="16" t="s">
        <v>1779</v>
      </c>
      <c r="H627" s="16" t="s">
        <v>190</v>
      </c>
    </row>
    <row r="628" spans="1:8" x14ac:dyDescent="0.25">
      <c r="A628" s="11" t="s">
        <v>266</v>
      </c>
      <c r="B628" s="16" t="s">
        <v>1776</v>
      </c>
      <c r="C628" s="16" t="s">
        <v>1844</v>
      </c>
      <c r="D628" s="16" t="s">
        <v>1845</v>
      </c>
      <c r="E628" s="16" t="s">
        <v>1846</v>
      </c>
      <c r="F628" s="16" t="s">
        <v>260</v>
      </c>
      <c r="G628" s="16" t="s">
        <v>1779</v>
      </c>
      <c r="H628" s="16" t="s">
        <v>190</v>
      </c>
    </row>
    <row r="629" spans="1:8" x14ac:dyDescent="0.25">
      <c r="A629" s="11" t="s">
        <v>266</v>
      </c>
      <c r="B629" s="16" t="s">
        <v>1776</v>
      </c>
      <c r="C629" s="16" t="s">
        <v>1847</v>
      </c>
      <c r="D629" s="16" t="s">
        <v>1848</v>
      </c>
      <c r="E629" s="16" t="s">
        <v>1849</v>
      </c>
      <c r="F629" s="16" t="s">
        <v>260</v>
      </c>
      <c r="G629" s="16" t="s">
        <v>1779</v>
      </c>
      <c r="H629" s="16" t="s">
        <v>190</v>
      </c>
    </row>
    <row r="630" spans="1:8" x14ac:dyDescent="0.25">
      <c r="A630" s="11" t="s">
        <v>275</v>
      </c>
      <c r="B630" s="11" t="s">
        <v>841</v>
      </c>
      <c r="C630" s="11" t="s">
        <v>1850</v>
      </c>
      <c r="D630" s="11" t="s">
        <v>1851</v>
      </c>
      <c r="E630" s="11"/>
      <c r="F630" s="11" t="s">
        <v>280</v>
      </c>
      <c r="G630" s="11" t="s">
        <v>261</v>
      </c>
      <c r="H630" s="11" t="s">
        <v>1852</v>
      </c>
    </row>
    <row r="631" spans="1:8" x14ac:dyDescent="0.25">
      <c r="A631" s="11" t="s">
        <v>275</v>
      </c>
      <c r="B631" s="11" t="s">
        <v>841</v>
      </c>
      <c r="C631" s="11" t="s">
        <v>1853</v>
      </c>
      <c r="D631" s="11" t="s">
        <v>1854</v>
      </c>
      <c r="E631" s="11"/>
      <c r="F631" s="11" t="s">
        <v>280</v>
      </c>
      <c r="G631" s="11" t="s">
        <v>261</v>
      </c>
      <c r="H631" s="11" t="s">
        <v>1852</v>
      </c>
    </row>
    <row r="632" spans="1:8" x14ac:dyDescent="0.25">
      <c r="A632" s="11" t="s">
        <v>275</v>
      </c>
      <c r="B632" s="11" t="s">
        <v>841</v>
      </c>
      <c r="C632" s="11" t="s">
        <v>1855</v>
      </c>
      <c r="D632" s="11" t="s">
        <v>1856</v>
      </c>
      <c r="E632" s="11"/>
      <c r="F632" s="11" t="s">
        <v>280</v>
      </c>
      <c r="G632" s="11" t="s">
        <v>261</v>
      </c>
      <c r="H632" s="11" t="s">
        <v>1852</v>
      </c>
    </row>
    <row r="633" spans="1:8" x14ac:dyDescent="0.25">
      <c r="A633" s="11" t="s">
        <v>287</v>
      </c>
      <c r="B633" s="11" t="s">
        <v>288</v>
      </c>
      <c r="C633" s="11" t="s">
        <v>1857</v>
      </c>
      <c r="D633" s="11" t="s">
        <v>1858</v>
      </c>
      <c r="E633" s="11"/>
      <c r="F633" s="11" t="s">
        <v>280</v>
      </c>
      <c r="G633" s="11" t="s">
        <v>261</v>
      </c>
      <c r="H633" s="11" t="s">
        <v>1852</v>
      </c>
    </row>
    <row r="634" spans="1:8" x14ac:dyDescent="0.25">
      <c r="A634" s="11" t="s">
        <v>287</v>
      </c>
      <c r="B634" s="11" t="s">
        <v>288</v>
      </c>
      <c r="C634" s="11" t="s">
        <v>1859</v>
      </c>
      <c r="D634" s="11" t="s">
        <v>1860</v>
      </c>
      <c r="E634" s="11"/>
      <c r="F634" s="11" t="s">
        <v>280</v>
      </c>
      <c r="G634" s="11" t="s">
        <v>261</v>
      </c>
      <c r="H634" s="11" t="s">
        <v>1852</v>
      </c>
    </row>
    <row r="635" spans="1:8" x14ac:dyDescent="0.25">
      <c r="A635" s="11" t="s">
        <v>287</v>
      </c>
      <c r="B635" s="11" t="s">
        <v>288</v>
      </c>
      <c r="C635" s="11" t="s">
        <v>1861</v>
      </c>
      <c r="D635" s="11" t="s">
        <v>1862</v>
      </c>
      <c r="E635" s="11"/>
      <c r="F635" s="11" t="s">
        <v>280</v>
      </c>
      <c r="G635" s="11" t="s">
        <v>261</v>
      </c>
      <c r="H635" s="11" t="s">
        <v>1852</v>
      </c>
    </row>
    <row r="636" spans="1:8" x14ac:dyDescent="0.25">
      <c r="A636" s="11" t="s">
        <v>287</v>
      </c>
      <c r="B636" s="11" t="s">
        <v>288</v>
      </c>
      <c r="C636" s="11" t="s">
        <v>1863</v>
      </c>
      <c r="D636" s="11" t="s">
        <v>1864</v>
      </c>
      <c r="E636" s="11"/>
      <c r="F636" s="11" t="s">
        <v>280</v>
      </c>
      <c r="G636" s="11" t="s">
        <v>261</v>
      </c>
      <c r="H636" s="11" t="s">
        <v>1852</v>
      </c>
    </row>
    <row r="637" spans="1:8" x14ac:dyDescent="0.25">
      <c r="A637" s="11" t="s">
        <v>287</v>
      </c>
      <c r="B637" s="11" t="s">
        <v>288</v>
      </c>
      <c r="C637" s="11" t="s">
        <v>1865</v>
      </c>
      <c r="D637" s="11" t="s">
        <v>1866</v>
      </c>
      <c r="E637" s="11"/>
      <c r="F637" s="11" t="s">
        <v>280</v>
      </c>
      <c r="G637" s="11" t="s">
        <v>261</v>
      </c>
      <c r="H637" s="11" t="s">
        <v>1852</v>
      </c>
    </row>
    <row r="638" spans="1:8" x14ac:dyDescent="0.25">
      <c r="A638" s="11" t="s">
        <v>287</v>
      </c>
      <c r="B638" s="11" t="s">
        <v>288</v>
      </c>
      <c r="C638" s="11" t="s">
        <v>1867</v>
      </c>
      <c r="D638" s="11" t="s">
        <v>1868</v>
      </c>
      <c r="E638" s="11"/>
      <c r="F638" s="11" t="s">
        <v>280</v>
      </c>
      <c r="G638" s="11" t="s">
        <v>261</v>
      </c>
      <c r="H638" s="11" t="s">
        <v>1852</v>
      </c>
    </row>
    <row r="639" spans="1:8" x14ac:dyDescent="0.25">
      <c r="A639" s="11" t="s">
        <v>287</v>
      </c>
      <c r="B639" s="11" t="s">
        <v>288</v>
      </c>
      <c r="C639" s="11" t="s">
        <v>1869</v>
      </c>
      <c r="D639" s="11" t="s">
        <v>1870</v>
      </c>
      <c r="E639" s="11"/>
      <c r="F639" s="11" t="s">
        <v>280</v>
      </c>
      <c r="G639" s="11" t="s">
        <v>261</v>
      </c>
      <c r="H639" s="11" t="s">
        <v>1852</v>
      </c>
    </row>
    <row r="640" spans="1:8" x14ac:dyDescent="0.25">
      <c r="A640" s="11" t="s">
        <v>287</v>
      </c>
      <c r="B640" s="11" t="s">
        <v>288</v>
      </c>
      <c r="C640" s="11" t="s">
        <v>1871</v>
      </c>
      <c r="D640" s="11" t="s">
        <v>1872</v>
      </c>
      <c r="E640" s="11"/>
      <c r="F640" s="11" t="s">
        <v>280</v>
      </c>
      <c r="G640" s="11" t="s">
        <v>261</v>
      </c>
      <c r="H640" s="11" t="s">
        <v>1852</v>
      </c>
    </row>
    <row r="641" spans="1:8" x14ac:dyDescent="0.25">
      <c r="A641" s="11" t="s">
        <v>287</v>
      </c>
      <c r="B641" s="11" t="s">
        <v>288</v>
      </c>
      <c r="C641" s="11" t="s">
        <v>1873</v>
      </c>
      <c r="D641" s="11" t="s">
        <v>1874</v>
      </c>
      <c r="E641" s="11"/>
      <c r="F641" s="11" t="s">
        <v>280</v>
      </c>
      <c r="G641" s="11" t="s">
        <v>261</v>
      </c>
      <c r="H641" s="11" t="s">
        <v>1852</v>
      </c>
    </row>
    <row r="642" spans="1:8" x14ac:dyDescent="0.25">
      <c r="A642" s="11" t="s">
        <v>287</v>
      </c>
      <c r="B642" s="11" t="s">
        <v>288</v>
      </c>
      <c r="C642" s="11" t="s">
        <v>1875</v>
      </c>
      <c r="D642" s="11" t="s">
        <v>1876</v>
      </c>
      <c r="E642" s="11"/>
      <c r="F642" s="11" t="s">
        <v>280</v>
      </c>
      <c r="G642" s="11" t="s">
        <v>261</v>
      </c>
      <c r="H642" s="11" t="s">
        <v>1852</v>
      </c>
    </row>
    <row r="643" spans="1:8" x14ac:dyDescent="0.25">
      <c r="A643" s="11" t="s">
        <v>287</v>
      </c>
      <c r="B643" s="11" t="s">
        <v>288</v>
      </c>
      <c r="C643" s="11" t="s">
        <v>1877</v>
      </c>
      <c r="D643" s="11" t="s">
        <v>1878</v>
      </c>
      <c r="E643" s="11"/>
      <c r="F643" s="11" t="s">
        <v>280</v>
      </c>
      <c r="G643" s="11" t="s">
        <v>261</v>
      </c>
      <c r="H643" s="11" t="s">
        <v>1852</v>
      </c>
    </row>
    <row r="644" spans="1:8" x14ac:dyDescent="0.25">
      <c r="A644" s="11" t="s">
        <v>287</v>
      </c>
      <c r="B644" s="11" t="s">
        <v>288</v>
      </c>
      <c r="C644" s="11" t="s">
        <v>1879</v>
      </c>
      <c r="D644" s="11" t="s">
        <v>1880</v>
      </c>
      <c r="E644" s="11"/>
      <c r="F644" s="11" t="s">
        <v>280</v>
      </c>
      <c r="G644" s="11" t="s">
        <v>261</v>
      </c>
      <c r="H644" s="11" t="s">
        <v>1852</v>
      </c>
    </row>
    <row r="645" spans="1:8" x14ac:dyDescent="0.25">
      <c r="A645" s="11" t="s">
        <v>287</v>
      </c>
      <c r="B645" s="11" t="s">
        <v>288</v>
      </c>
      <c r="C645" s="11" t="s">
        <v>1881</v>
      </c>
      <c r="D645" s="11" t="s">
        <v>1882</v>
      </c>
      <c r="E645" s="11"/>
      <c r="F645" s="11" t="s">
        <v>280</v>
      </c>
      <c r="G645" s="11" t="s">
        <v>261</v>
      </c>
      <c r="H645" s="11" t="s">
        <v>1852</v>
      </c>
    </row>
    <row r="646" spans="1:8" x14ac:dyDescent="0.25">
      <c r="A646" s="11" t="s">
        <v>287</v>
      </c>
      <c r="B646" s="11" t="s">
        <v>288</v>
      </c>
      <c r="C646" s="11" t="s">
        <v>1883</v>
      </c>
      <c r="D646" s="11" t="s">
        <v>1884</v>
      </c>
      <c r="E646" s="11"/>
      <c r="F646" s="11" t="s">
        <v>280</v>
      </c>
      <c r="G646" s="11" t="s">
        <v>261</v>
      </c>
      <c r="H646" s="11" t="s">
        <v>1852</v>
      </c>
    </row>
    <row r="647" spans="1:8" x14ac:dyDescent="0.25">
      <c r="A647" s="11" t="s">
        <v>287</v>
      </c>
      <c r="B647" s="11" t="s">
        <v>288</v>
      </c>
      <c r="C647" s="11" t="s">
        <v>1885</v>
      </c>
      <c r="D647" s="11" t="s">
        <v>1886</v>
      </c>
      <c r="E647" s="11"/>
      <c r="F647" s="11" t="s">
        <v>280</v>
      </c>
      <c r="G647" s="11" t="s">
        <v>261</v>
      </c>
      <c r="H647" s="11" t="s">
        <v>1852</v>
      </c>
    </row>
    <row r="648" spans="1:8" x14ac:dyDescent="0.25">
      <c r="A648" s="11" t="s">
        <v>287</v>
      </c>
      <c r="B648" s="11" t="s">
        <v>288</v>
      </c>
      <c r="C648" s="11" t="s">
        <v>1887</v>
      </c>
      <c r="D648" s="11" t="s">
        <v>1888</v>
      </c>
      <c r="E648" s="11"/>
      <c r="F648" s="11" t="s">
        <v>280</v>
      </c>
      <c r="G648" s="11" t="s">
        <v>261</v>
      </c>
      <c r="H648" s="11" t="s">
        <v>1852</v>
      </c>
    </row>
    <row r="649" spans="1:8" x14ac:dyDescent="0.25">
      <c r="A649" s="11" t="s">
        <v>287</v>
      </c>
      <c r="B649" s="11" t="s">
        <v>288</v>
      </c>
      <c r="C649" s="11" t="s">
        <v>1889</v>
      </c>
      <c r="D649" s="11" t="s">
        <v>1890</v>
      </c>
      <c r="E649" s="11"/>
      <c r="F649" s="11" t="s">
        <v>280</v>
      </c>
      <c r="G649" s="11" t="s">
        <v>261</v>
      </c>
      <c r="H649" s="11" t="s">
        <v>1852</v>
      </c>
    </row>
    <row r="650" spans="1:8" x14ac:dyDescent="0.25">
      <c r="A650" s="11" t="s">
        <v>287</v>
      </c>
      <c r="B650" s="11" t="s">
        <v>288</v>
      </c>
      <c r="C650" s="11" t="s">
        <v>1891</v>
      </c>
      <c r="D650" s="11" t="s">
        <v>1892</v>
      </c>
      <c r="E650" s="11"/>
      <c r="F650" s="11" t="s">
        <v>280</v>
      </c>
      <c r="G650" s="11" t="s">
        <v>261</v>
      </c>
      <c r="H650" s="11" t="s">
        <v>1852</v>
      </c>
    </row>
    <row r="651" spans="1:8" x14ac:dyDescent="0.25">
      <c r="A651" s="11" t="s">
        <v>287</v>
      </c>
      <c r="B651" s="11" t="s">
        <v>288</v>
      </c>
      <c r="C651" s="11" t="s">
        <v>1893</v>
      </c>
      <c r="D651" s="11" t="s">
        <v>1894</v>
      </c>
      <c r="E651" s="11"/>
      <c r="F651" s="11" t="s">
        <v>280</v>
      </c>
      <c r="G651" s="11" t="s">
        <v>261</v>
      </c>
      <c r="H651" s="11" t="s">
        <v>1852</v>
      </c>
    </row>
    <row r="652" spans="1:8" x14ac:dyDescent="0.25">
      <c r="A652" s="11" t="s">
        <v>287</v>
      </c>
      <c r="B652" s="11" t="s">
        <v>288</v>
      </c>
      <c r="C652" s="11" t="s">
        <v>1895</v>
      </c>
      <c r="D652" s="11" t="s">
        <v>1896</v>
      </c>
      <c r="E652" s="11"/>
      <c r="F652" s="11" t="s">
        <v>280</v>
      </c>
      <c r="G652" s="11" t="s">
        <v>261</v>
      </c>
      <c r="H652" s="11" t="s">
        <v>1852</v>
      </c>
    </row>
    <row r="653" spans="1:8" x14ac:dyDescent="0.25">
      <c r="A653" s="11" t="s">
        <v>287</v>
      </c>
      <c r="B653" s="11" t="s">
        <v>288</v>
      </c>
      <c r="C653" s="11" t="s">
        <v>1897</v>
      </c>
      <c r="D653" s="11" t="s">
        <v>1898</v>
      </c>
      <c r="E653" s="11"/>
      <c r="F653" s="11" t="s">
        <v>280</v>
      </c>
      <c r="G653" s="11" t="s">
        <v>261</v>
      </c>
      <c r="H653" s="11" t="s">
        <v>1852</v>
      </c>
    </row>
    <row r="654" spans="1:8" x14ac:dyDescent="0.25">
      <c r="A654" s="11" t="s">
        <v>287</v>
      </c>
      <c r="B654" s="11" t="s">
        <v>288</v>
      </c>
      <c r="C654" s="11" t="s">
        <v>1899</v>
      </c>
      <c r="D654" s="11" t="s">
        <v>1900</v>
      </c>
      <c r="E654" s="11"/>
      <c r="F654" s="11" t="s">
        <v>280</v>
      </c>
      <c r="G654" s="11" t="s">
        <v>261</v>
      </c>
      <c r="H654" s="11" t="s">
        <v>1852</v>
      </c>
    </row>
    <row r="655" spans="1:8" x14ac:dyDescent="0.25">
      <c r="A655" s="11" t="s">
        <v>287</v>
      </c>
      <c r="B655" s="11" t="s">
        <v>288</v>
      </c>
      <c r="C655" s="11" t="s">
        <v>1901</v>
      </c>
      <c r="D655" s="11" t="s">
        <v>1902</v>
      </c>
      <c r="E655" s="11"/>
      <c r="F655" s="11" t="s">
        <v>280</v>
      </c>
      <c r="G655" s="11" t="s">
        <v>261</v>
      </c>
      <c r="H655" s="11" t="s">
        <v>1852</v>
      </c>
    </row>
    <row r="656" spans="1:8" x14ac:dyDescent="0.25">
      <c r="A656" s="11" t="s">
        <v>287</v>
      </c>
      <c r="B656" s="11" t="s">
        <v>288</v>
      </c>
      <c r="C656" s="11" t="s">
        <v>1903</v>
      </c>
      <c r="D656" s="11" t="s">
        <v>1904</v>
      </c>
      <c r="E656" s="11"/>
      <c r="F656" s="11" t="s">
        <v>280</v>
      </c>
      <c r="G656" s="11" t="s">
        <v>261</v>
      </c>
      <c r="H656" s="11" t="s">
        <v>1852</v>
      </c>
    </row>
    <row r="657" spans="1:8" x14ac:dyDescent="0.25">
      <c r="A657" s="11" t="s">
        <v>287</v>
      </c>
      <c r="B657" s="11" t="s">
        <v>288</v>
      </c>
      <c r="C657" s="11" t="s">
        <v>1905</v>
      </c>
      <c r="D657" s="11" t="s">
        <v>1906</v>
      </c>
      <c r="E657" s="11"/>
      <c r="F657" s="11" t="s">
        <v>280</v>
      </c>
      <c r="G657" s="11" t="s">
        <v>261</v>
      </c>
      <c r="H657" s="11" t="s">
        <v>1852</v>
      </c>
    </row>
    <row r="658" spans="1:8" x14ac:dyDescent="0.25">
      <c r="A658" s="11" t="s">
        <v>287</v>
      </c>
      <c r="B658" s="11" t="s">
        <v>288</v>
      </c>
      <c r="C658" s="11" t="s">
        <v>1907</v>
      </c>
      <c r="D658" s="11" t="s">
        <v>1908</v>
      </c>
      <c r="E658" s="11"/>
      <c r="F658" s="11" t="s">
        <v>280</v>
      </c>
      <c r="G658" s="11" t="s">
        <v>261</v>
      </c>
      <c r="H658" s="11" t="s">
        <v>1852</v>
      </c>
    </row>
    <row r="659" spans="1:8" x14ac:dyDescent="0.25">
      <c r="A659" s="11" t="s">
        <v>287</v>
      </c>
      <c r="B659" s="11" t="s">
        <v>288</v>
      </c>
      <c r="C659" s="11" t="s">
        <v>1909</v>
      </c>
      <c r="D659" s="11" t="s">
        <v>1910</v>
      </c>
      <c r="E659" s="11"/>
      <c r="F659" s="11" t="s">
        <v>280</v>
      </c>
      <c r="G659" s="11" t="s">
        <v>261</v>
      </c>
      <c r="H659" s="11" t="s">
        <v>1852</v>
      </c>
    </row>
    <row r="660" spans="1:8" x14ac:dyDescent="0.25">
      <c r="A660" s="11" t="s">
        <v>287</v>
      </c>
      <c r="B660" s="11" t="s">
        <v>288</v>
      </c>
      <c r="C660" s="11" t="s">
        <v>1911</v>
      </c>
      <c r="D660" s="11" t="s">
        <v>1912</v>
      </c>
      <c r="E660" s="11"/>
      <c r="F660" s="11" t="s">
        <v>280</v>
      </c>
      <c r="G660" s="11" t="s">
        <v>261</v>
      </c>
      <c r="H660" s="11" t="s">
        <v>1852</v>
      </c>
    </row>
    <row r="661" spans="1:8" x14ac:dyDescent="0.25">
      <c r="A661" s="11" t="s">
        <v>287</v>
      </c>
      <c r="B661" s="11" t="s">
        <v>288</v>
      </c>
      <c r="C661" s="11" t="s">
        <v>1913</v>
      </c>
      <c r="D661" s="11" t="s">
        <v>1914</v>
      </c>
      <c r="E661" s="11"/>
      <c r="F661" s="11" t="s">
        <v>280</v>
      </c>
      <c r="G661" s="11" t="s">
        <v>261</v>
      </c>
      <c r="H661" s="11" t="s">
        <v>1852</v>
      </c>
    </row>
    <row r="662" spans="1:8" x14ac:dyDescent="0.25">
      <c r="A662" s="11" t="s">
        <v>287</v>
      </c>
      <c r="B662" s="11" t="s">
        <v>288</v>
      </c>
      <c r="C662" s="11" t="s">
        <v>1915</v>
      </c>
      <c r="D662" s="11" t="s">
        <v>1916</v>
      </c>
      <c r="E662" s="11"/>
      <c r="F662" s="11" t="s">
        <v>280</v>
      </c>
      <c r="G662" s="11" t="s">
        <v>261</v>
      </c>
      <c r="H662" s="11" t="s">
        <v>1852</v>
      </c>
    </row>
    <row r="663" spans="1:8" x14ac:dyDescent="0.25">
      <c r="A663" s="11" t="s">
        <v>287</v>
      </c>
      <c r="B663" s="11" t="s">
        <v>288</v>
      </c>
      <c r="C663" s="11" t="s">
        <v>1917</v>
      </c>
      <c r="D663" s="11" t="s">
        <v>1918</v>
      </c>
      <c r="E663" s="11"/>
      <c r="F663" s="11" t="s">
        <v>280</v>
      </c>
      <c r="G663" s="11" t="s">
        <v>261</v>
      </c>
      <c r="H663" s="11" t="s">
        <v>1852</v>
      </c>
    </row>
    <row r="664" spans="1:8" x14ac:dyDescent="0.25">
      <c r="A664" s="11" t="s">
        <v>287</v>
      </c>
      <c r="B664" s="11" t="s">
        <v>288</v>
      </c>
      <c r="C664" s="11" t="s">
        <v>1919</v>
      </c>
      <c r="D664" s="11" t="s">
        <v>1920</v>
      </c>
      <c r="E664" s="11"/>
      <c r="F664" s="11" t="s">
        <v>280</v>
      </c>
      <c r="G664" s="11" t="s">
        <v>261</v>
      </c>
      <c r="H664" s="11" t="s">
        <v>1852</v>
      </c>
    </row>
    <row r="665" spans="1:8" x14ac:dyDescent="0.25">
      <c r="A665" s="11" t="s">
        <v>287</v>
      </c>
      <c r="B665" s="11" t="s">
        <v>288</v>
      </c>
      <c r="C665" s="11" t="s">
        <v>1921</v>
      </c>
      <c r="D665" s="11" t="s">
        <v>1922</v>
      </c>
      <c r="E665" s="11"/>
      <c r="F665" s="11" t="s">
        <v>280</v>
      </c>
      <c r="G665" s="11" t="s">
        <v>261</v>
      </c>
      <c r="H665" s="11" t="s">
        <v>1852</v>
      </c>
    </row>
    <row r="666" spans="1:8" x14ac:dyDescent="0.25">
      <c r="A666" s="11" t="s">
        <v>287</v>
      </c>
      <c r="B666" s="11" t="s">
        <v>288</v>
      </c>
      <c r="C666" s="11" t="s">
        <v>1923</v>
      </c>
      <c r="D666" s="11" t="s">
        <v>1924</v>
      </c>
      <c r="E666" s="11"/>
      <c r="F666" s="11" t="s">
        <v>280</v>
      </c>
      <c r="G666" s="11" t="s">
        <v>261</v>
      </c>
      <c r="H666" s="11" t="s">
        <v>1852</v>
      </c>
    </row>
    <row r="667" spans="1:8" x14ac:dyDescent="0.25">
      <c r="A667" s="11" t="s">
        <v>287</v>
      </c>
      <c r="B667" s="11" t="s">
        <v>288</v>
      </c>
      <c r="C667" s="11" t="s">
        <v>1925</v>
      </c>
      <c r="D667" s="11" t="s">
        <v>1926</v>
      </c>
      <c r="E667" s="11"/>
      <c r="F667" s="11" t="s">
        <v>280</v>
      </c>
      <c r="G667" s="11" t="s">
        <v>261</v>
      </c>
      <c r="H667" s="11" t="s">
        <v>1852</v>
      </c>
    </row>
    <row r="668" spans="1:8" x14ac:dyDescent="0.25">
      <c r="A668" s="11" t="s">
        <v>287</v>
      </c>
      <c r="B668" s="11" t="s">
        <v>288</v>
      </c>
      <c r="C668" s="11" t="s">
        <v>1927</v>
      </c>
      <c r="D668" s="11" t="s">
        <v>1928</v>
      </c>
      <c r="E668" s="11"/>
      <c r="F668" s="11" t="s">
        <v>280</v>
      </c>
      <c r="G668" s="11" t="s">
        <v>261</v>
      </c>
      <c r="H668" s="11" t="s">
        <v>1852</v>
      </c>
    </row>
    <row r="669" spans="1:8" x14ac:dyDescent="0.25">
      <c r="A669" s="11" t="s">
        <v>287</v>
      </c>
      <c r="B669" s="11" t="s">
        <v>288</v>
      </c>
      <c r="C669" s="11" t="s">
        <v>1929</v>
      </c>
      <c r="D669" s="11" t="s">
        <v>1930</v>
      </c>
      <c r="E669" s="11"/>
      <c r="F669" s="11" t="s">
        <v>280</v>
      </c>
      <c r="G669" s="11" t="s">
        <v>261</v>
      </c>
      <c r="H669" s="11" t="s">
        <v>1852</v>
      </c>
    </row>
    <row r="670" spans="1:8" x14ac:dyDescent="0.25">
      <c r="A670" s="11" t="s">
        <v>287</v>
      </c>
      <c r="B670" s="11" t="s">
        <v>288</v>
      </c>
      <c r="C670" s="11" t="s">
        <v>1931</v>
      </c>
      <c r="D670" s="11" t="s">
        <v>1932</v>
      </c>
      <c r="E670" s="11"/>
      <c r="F670" s="11" t="s">
        <v>280</v>
      </c>
      <c r="G670" s="11" t="s">
        <v>261</v>
      </c>
      <c r="H670" s="11" t="s">
        <v>1852</v>
      </c>
    </row>
    <row r="671" spans="1:8" x14ac:dyDescent="0.25">
      <c r="A671" s="11" t="s">
        <v>287</v>
      </c>
      <c r="B671" s="11" t="s">
        <v>288</v>
      </c>
      <c r="C671" s="11" t="s">
        <v>1933</v>
      </c>
      <c r="D671" s="11" t="s">
        <v>1934</v>
      </c>
      <c r="E671" s="11"/>
      <c r="F671" s="11" t="s">
        <v>280</v>
      </c>
      <c r="G671" s="11" t="s">
        <v>261</v>
      </c>
      <c r="H671" s="11" t="s">
        <v>1852</v>
      </c>
    </row>
    <row r="672" spans="1:8" x14ac:dyDescent="0.25">
      <c r="A672" s="11" t="s">
        <v>287</v>
      </c>
      <c r="B672" s="11" t="s">
        <v>288</v>
      </c>
      <c r="C672" s="11" t="s">
        <v>1935</v>
      </c>
      <c r="D672" s="11" t="s">
        <v>1936</v>
      </c>
      <c r="E672" s="11"/>
      <c r="F672" s="11" t="s">
        <v>280</v>
      </c>
      <c r="G672" s="11" t="s">
        <v>261</v>
      </c>
      <c r="H672" s="11" t="s">
        <v>1852</v>
      </c>
    </row>
    <row r="673" spans="1:8" x14ac:dyDescent="0.25">
      <c r="A673" s="11" t="s">
        <v>287</v>
      </c>
      <c r="B673" s="11" t="s">
        <v>288</v>
      </c>
      <c r="C673" s="11" t="s">
        <v>1937</v>
      </c>
      <c r="D673" s="11" t="s">
        <v>1938</v>
      </c>
      <c r="E673" s="11"/>
      <c r="F673" s="11" t="s">
        <v>280</v>
      </c>
      <c r="G673" s="11" t="s">
        <v>261</v>
      </c>
      <c r="H673" s="11" t="s">
        <v>1852</v>
      </c>
    </row>
    <row r="674" spans="1:8" x14ac:dyDescent="0.25">
      <c r="A674" s="11" t="s">
        <v>287</v>
      </c>
      <c r="B674" s="11" t="s">
        <v>288</v>
      </c>
      <c r="C674" s="11" t="s">
        <v>1939</v>
      </c>
      <c r="D674" s="11" t="s">
        <v>1940</v>
      </c>
      <c r="E674" s="11"/>
      <c r="F674" s="11" t="s">
        <v>280</v>
      </c>
      <c r="G674" s="11" t="s">
        <v>261</v>
      </c>
      <c r="H674" s="11" t="s">
        <v>1852</v>
      </c>
    </row>
    <row r="675" spans="1:8" x14ac:dyDescent="0.25">
      <c r="A675" s="11" t="s">
        <v>287</v>
      </c>
      <c r="B675" s="11" t="s">
        <v>288</v>
      </c>
      <c r="C675" s="11" t="s">
        <v>1941</v>
      </c>
      <c r="D675" s="11" t="s">
        <v>1942</v>
      </c>
      <c r="E675" s="11"/>
      <c r="F675" s="11" t="s">
        <v>280</v>
      </c>
      <c r="G675" s="11" t="s">
        <v>261</v>
      </c>
      <c r="H675" s="11" t="s">
        <v>1852</v>
      </c>
    </row>
    <row r="676" spans="1:8" x14ac:dyDescent="0.25">
      <c r="A676" s="11" t="s">
        <v>287</v>
      </c>
      <c r="B676" s="11" t="s">
        <v>288</v>
      </c>
      <c r="C676" s="11" t="s">
        <v>1943</v>
      </c>
      <c r="D676" s="11" t="s">
        <v>1944</v>
      </c>
      <c r="E676" s="11"/>
      <c r="F676" s="11" t="s">
        <v>280</v>
      </c>
      <c r="G676" s="11" t="s">
        <v>261</v>
      </c>
      <c r="H676" s="11" t="s">
        <v>1852</v>
      </c>
    </row>
    <row r="677" spans="1:8" x14ac:dyDescent="0.25">
      <c r="A677" s="11" t="s">
        <v>287</v>
      </c>
      <c r="B677" s="11" t="s">
        <v>288</v>
      </c>
      <c r="C677" s="11" t="s">
        <v>1945</v>
      </c>
      <c r="D677" s="11" t="s">
        <v>1946</v>
      </c>
      <c r="E677" s="11"/>
      <c r="F677" s="11" t="s">
        <v>280</v>
      </c>
      <c r="G677" s="11" t="s">
        <v>261</v>
      </c>
      <c r="H677" s="11" t="s">
        <v>1852</v>
      </c>
    </row>
    <row r="678" spans="1:8" x14ac:dyDescent="0.25">
      <c r="A678" s="11" t="s">
        <v>287</v>
      </c>
      <c r="B678" s="11" t="s">
        <v>288</v>
      </c>
      <c r="C678" s="11" t="s">
        <v>1947</v>
      </c>
      <c r="D678" s="11" t="s">
        <v>1948</v>
      </c>
      <c r="E678" s="11"/>
      <c r="F678" s="11" t="s">
        <v>280</v>
      </c>
      <c r="G678" s="11" t="s">
        <v>261</v>
      </c>
      <c r="H678" s="11" t="s">
        <v>1852</v>
      </c>
    </row>
    <row r="679" spans="1:8" x14ac:dyDescent="0.25">
      <c r="A679" s="11" t="s">
        <v>287</v>
      </c>
      <c r="B679" s="11" t="s">
        <v>288</v>
      </c>
      <c r="C679" s="11" t="s">
        <v>1949</v>
      </c>
      <c r="D679" s="11" t="s">
        <v>1950</v>
      </c>
      <c r="E679" s="11"/>
      <c r="F679" s="11" t="s">
        <v>280</v>
      </c>
      <c r="G679" s="11" t="s">
        <v>261</v>
      </c>
      <c r="H679" s="11" t="s">
        <v>1852</v>
      </c>
    </row>
    <row r="680" spans="1:8" x14ac:dyDescent="0.25">
      <c r="A680" s="11" t="s">
        <v>287</v>
      </c>
      <c r="B680" s="11" t="s">
        <v>288</v>
      </c>
      <c r="C680" s="11" t="s">
        <v>1951</v>
      </c>
      <c r="D680" s="11" t="s">
        <v>1952</v>
      </c>
      <c r="E680" s="11"/>
      <c r="F680" s="11" t="s">
        <v>280</v>
      </c>
      <c r="G680" s="11" t="s">
        <v>261</v>
      </c>
      <c r="H680" s="11" t="s">
        <v>1852</v>
      </c>
    </row>
    <row r="681" spans="1:8" x14ac:dyDescent="0.25">
      <c r="A681" s="11" t="s">
        <v>287</v>
      </c>
      <c r="B681" s="11" t="s">
        <v>288</v>
      </c>
      <c r="C681" s="11" t="s">
        <v>1953</v>
      </c>
      <c r="D681" s="11" t="s">
        <v>1954</v>
      </c>
      <c r="E681" s="11"/>
      <c r="F681" s="11" t="s">
        <v>280</v>
      </c>
      <c r="G681" s="11" t="s">
        <v>261</v>
      </c>
      <c r="H681" s="11" t="s">
        <v>1852</v>
      </c>
    </row>
    <row r="682" spans="1:8" x14ac:dyDescent="0.25">
      <c r="A682" s="11" t="s">
        <v>287</v>
      </c>
      <c r="B682" s="11" t="s">
        <v>288</v>
      </c>
      <c r="C682" s="11" t="s">
        <v>1955</v>
      </c>
      <c r="D682" s="11" t="s">
        <v>1956</v>
      </c>
      <c r="E682" s="11"/>
      <c r="F682" s="11" t="s">
        <v>280</v>
      </c>
      <c r="G682" s="11" t="s">
        <v>261</v>
      </c>
      <c r="H682" s="11" t="s">
        <v>1852</v>
      </c>
    </row>
    <row r="683" spans="1:8" x14ac:dyDescent="0.25">
      <c r="A683" s="11" t="s">
        <v>287</v>
      </c>
      <c r="B683" s="11" t="s">
        <v>288</v>
      </c>
      <c r="C683" s="11" t="s">
        <v>1957</v>
      </c>
      <c r="D683" s="11" t="s">
        <v>1958</v>
      </c>
      <c r="E683" s="11"/>
      <c r="F683" s="11" t="s">
        <v>280</v>
      </c>
      <c r="G683" s="11" t="s">
        <v>261</v>
      </c>
      <c r="H683" s="11" t="s">
        <v>1852</v>
      </c>
    </row>
    <row r="684" spans="1:8" x14ac:dyDescent="0.25">
      <c r="A684" s="11" t="s">
        <v>287</v>
      </c>
      <c r="B684" s="11" t="s">
        <v>288</v>
      </c>
      <c r="C684" s="11" t="s">
        <v>1959</v>
      </c>
      <c r="D684" s="11" t="s">
        <v>1960</v>
      </c>
      <c r="E684" s="11"/>
      <c r="F684" s="11" t="s">
        <v>280</v>
      </c>
      <c r="G684" s="11" t="s">
        <v>261</v>
      </c>
      <c r="H684" s="11" t="s">
        <v>1852</v>
      </c>
    </row>
    <row r="685" spans="1:8" x14ac:dyDescent="0.25">
      <c r="A685" s="11" t="s">
        <v>287</v>
      </c>
      <c r="B685" s="11" t="s">
        <v>288</v>
      </c>
      <c r="C685" s="11" t="s">
        <v>1961</v>
      </c>
      <c r="D685" s="11" t="s">
        <v>1962</v>
      </c>
      <c r="E685" s="11"/>
      <c r="F685" s="11" t="s">
        <v>280</v>
      </c>
      <c r="G685" s="11" t="s">
        <v>261</v>
      </c>
      <c r="H685" s="11" t="s">
        <v>1852</v>
      </c>
    </row>
    <row r="686" spans="1:8" x14ac:dyDescent="0.25">
      <c r="A686" s="11" t="s">
        <v>287</v>
      </c>
      <c r="B686" s="11" t="s">
        <v>288</v>
      </c>
      <c r="C686" s="11" t="s">
        <v>1963</v>
      </c>
      <c r="D686" s="11" t="s">
        <v>1964</v>
      </c>
      <c r="E686" s="11"/>
      <c r="F686" s="11" t="s">
        <v>280</v>
      </c>
      <c r="G686" s="11" t="s">
        <v>261</v>
      </c>
      <c r="H686" s="11" t="s">
        <v>1852</v>
      </c>
    </row>
    <row r="687" spans="1:8" x14ac:dyDescent="0.25">
      <c r="A687" s="11" t="s">
        <v>287</v>
      </c>
      <c r="B687" s="11" t="s">
        <v>288</v>
      </c>
      <c r="C687" s="11" t="s">
        <v>1965</v>
      </c>
      <c r="D687" s="11" t="s">
        <v>1966</v>
      </c>
      <c r="E687" s="11"/>
      <c r="F687" s="11" t="s">
        <v>280</v>
      </c>
      <c r="G687" s="11" t="s">
        <v>261</v>
      </c>
      <c r="H687" s="11" t="s">
        <v>1852</v>
      </c>
    </row>
    <row r="688" spans="1:8" x14ac:dyDescent="0.25">
      <c r="A688" s="11" t="s">
        <v>287</v>
      </c>
      <c r="B688" s="11" t="s">
        <v>288</v>
      </c>
      <c r="C688" s="11" t="s">
        <v>1967</v>
      </c>
      <c r="D688" s="11" t="s">
        <v>1968</v>
      </c>
      <c r="E688" s="11"/>
      <c r="F688" s="11" t="s">
        <v>280</v>
      </c>
      <c r="G688" s="11" t="s">
        <v>261</v>
      </c>
      <c r="H688" s="11" t="s">
        <v>1852</v>
      </c>
    </row>
    <row r="689" spans="1:8" x14ac:dyDescent="0.25">
      <c r="A689" s="11" t="s">
        <v>287</v>
      </c>
      <c r="B689" s="11" t="s">
        <v>288</v>
      </c>
      <c r="C689" s="11" t="s">
        <v>1969</v>
      </c>
      <c r="D689" s="11" t="s">
        <v>1970</v>
      </c>
      <c r="E689" s="11"/>
      <c r="F689" s="11" t="s">
        <v>280</v>
      </c>
      <c r="G689" s="11" t="s">
        <v>261</v>
      </c>
      <c r="H689" s="11" t="s">
        <v>1852</v>
      </c>
    </row>
    <row r="690" spans="1:8" x14ac:dyDescent="0.25">
      <c r="A690" s="11" t="s">
        <v>287</v>
      </c>
      <c r="B690" s="11" t="s">
        <v>288</v>
      </c>
      <c r="C690" s="11" t="s">
        <v>1971</v>
      </c>
      <c r="D690" s="11" t="s">
        <v>1972</v>
      </c>
      <c r="E690" s="11"/>
      <c r="F690" s="11" t="s">
        <v>280</v>
      </c>
      <c r="G690" s="11" t="s">
        <v>261</v>
      </c>
      <c r="H690" s="11" t="s">
        <v>1852</v>
      </c>
    </row>
    <row r="691" spans="1:8" x14ac:dyDescent="0.25">
      <c r="A691" s="11" t="s">
        <v>287</v>
      </c>
      <c r="B691" s="11" t="s">
        <v>288</v>
      </c>
      <c r="C691" s="11" t="s">
        <v>1973</v>
      </c>
      <c r="D691" s="11" t="s">
        <v>1974</v>
      </c>
      <c r="E691" s="11"/>
      <c r="F691" s="11" t="s">
        <v>280</v>
      </c>
      <c r="G691" s="11" t="s">
        <v>261</v>
      </c>
      <c r="H691" s="11" t="s">
        <v>1852</v>
      </c>
    </row>
    <row r="692" spans="1:8" x14ac:dyDescent="0.25">
      <c r="A692" s="11" t="s">
        <v>287</v>
      </c>
      <c r="B692" s="11" t="s">
        <v>288</v>
      </c>
      <c r="C692" s="11" t="s">
        <v>1975</v>
      </c>
      <c r="D692" s="11" t="s">
        <v>1976</v>
      </c>
      <c r="E692" s="11"/>
      <c r="F692" s="11" t="s">
        <v>280</v>
      </c>
      <c r="G692" s="11" t="s">
        <v>261</v>
      </c>
      <c r="H692" s="11" t="s">
        <v>1852</v>
      </c>
    </row>
    <row r="693" spans="1:8" x14ac:dyDescent="0.25">
      <c r="A693" s="11" t="s">
        <v>293</v>
      </c>
      <c r="B693" s="11" t="s">
        <v>294</v>
      </c>
      <c r="C693" s="11" t="s">
        <v>1977</v>
      </c>
      <c r="D693" s="11" t="s">
        <v>1978</v>
      </c>
      <c r="E693" s="11"/>
      <c r="F693" s="11" t="s">
        <v>280</v>
      </c>
      <c r="G693" s="11" t="s">
        <v>261</v>
      </c>
      <c r="H693" s="11" t="s">
        <v>1852</v>
      </c>
    </row>
    <row r="694" spans="1:8" x14ac:dyDescent="0.25">
      <c r="A694" s="11" t="s">
        <v>293</v>
      </c>
      <c r="B694" s="11" t="s">
        <v>294</v>
      </c>
      <c r="C694" s="11" t="s">
        <v>1979</v>
      </c>
      <c r="D694" s="11" t="s">
        <v>1980</v>
      </c>
      <c r="E694" s="11"/>
      <c r="F694" s="11" t="s">
        <v>280</v>
      </c>
      <c r="G694" s="11" t="s">
        <v>261</v>
      </c>
      <c r="H694" s="11" t="s">
        <v>1852</v>
      </c>
    </row>
    <row r="695" spans="1:8" x14ac:dyDescent="0.25">
      <c r="A695" s="11" t="s">
        <v>293</v>
      </c>
      <c r="B695" s="11" t="s">
        <v>294</v>
      </c>
      <c r="C695" s="11" t="s">
        <v>1981</v>
      </c>
      <c r="D695" s="11" t="s">
        <v>1982</v>
      </c>
      <c r="E695" s="11"/>
      <c r="F695" s="11" t="s">
        <v>280</v>
      </c>
      <c r="G695" s="11" t="s">
        <v>261</v>
      </c>
      <c r="H695" s="11" t="s">
        <v>1852</v>
      </c>
    </row>
    <row r="696" spans="1:8" x14ac:dyDescent="0.25">
      <c r="A696" s="11" t="s">
        <v>293</v>
      </c>
      <c r="B696" s="11" t="s">
        <v>294</v>
      </c>
      <c r="C696" s="11" t="s">
        <v>1983</v>
      </c>
      <c r="D696" s="11" t="s">
        <v>1984</v>
      </c>
      <c r="E696" s="11"/>
      <c r="F696" s="11" t="s">
        <v>280</v>
      </c>
      <c r="G696" s="11" t="s">
        <v>261</v>
      </c>
      <c r="H696" s="11" t="s">
        <v>1852</v>
      </c>
    </row>
    <row r="697" spans="1:8" x14ac:dyDescent="0.25">
      <c r="A697" s="11" t="s">
        <v>293</v>
      </c>
      <c r="B697" s="11" t="s">
        <v>294</v>
      </c>
      <c r="C697" s="11" t="s">
        <v>1985</v>
      </c>
      <c r="D697" s="11" t="s">
        <v>1986</v>
      </c>
      <c r="E697" s="11"/>
      <c r="F697" s="11" t="s">
        <v>280</v>
      </c>
      <c r="G697" s="11" t="s">
        <v>261</v>
      </c>
      <c r="H697" s="11" t="s">
        <v>1852</v>
      </c>
    </row>
    <row r="698" spans="1:8" x14ac:dyDescent="0.25">
      <c r="A698" s="11" t="s">
        <v>293</v>
      </c>
      <c r="B698" s="11" t="s">
        <v>294</v>
      </c>
      <c r="C698" s="11" t="s">
        <v>1987</v>
      </c>
      <c r="D698" s="11" t="s">
        <v>1988</v>
      </c>
      <c r="E698" s="11"/>
      <c r="F698" s="11" t="s">
        <v>280</v>
      </c>
      <c r="G698" s="11" t="s">
        <v>261</v>
      </c>
      <c r="H698" s="11" t="s">
        <v>1852</v>
      </c>
    </row>
    <row r="699" spans="1:8" x14ac:dyDescent="0.25">
      <c r="A699" s="11" t="s">
        <v>293</v>
      </c>
      <c r="B699" s="11" t="s">
        <v>294</v>
      </c>
      <c r="C699" s="11" t="s">
        <v>1989</v>
      </c>
      <c r="D699" s="11" t="s">
        <v>1990</v>
      </c>
      <c r="E699" s="11"/>
      <c r="F699" s="11" t="s">
        <v>280</v>
      </c>
      <c r="G699" s="11" t="s">
        <v>261</v>
      </c>
      <c r="H699" s="11" t="s">
        <v>1852</v>
      </c>
    </row>
    <row r="700" spans="1:8" x14ac:dyDescent="0.25">
      <c r="A700" s="11" t="s">
        <v>293</v>
      </c>
      <c r="B700" s="11" t="s">
        <v>294</v>
      </c>
      <c r="C700" s="11" t="s">
        <v>1991</v>
      </c>
      <c r="D700" s="11" t="s">
        <v>1992</v>
      </c>
      <c r="E700" s="11"/>
      <c r="F700" s="11" t="s">
        <v>280</v>
      </c>
      <c r="G700" s="11" t="s">
        <v>261</v>
      </c>
      <c r="H700" s="11" t="s">
        <v>1852</v>
      </c>
    </row>
    <row r="701" spans="1:8" x14ac:dyDescent="0.25">
      <c r="A701" s="11" t="s">
        <v>293</v>
      </c>
      <c r="B701" s="11" t="s">
        <v>294</v>
      </c>
      <c r="C701" s="11" t="s">
        <v>1993</v>
      </c>
      <c r="D701" s="11" t="s">
        <v>1994</v>
      </c>
      <c r="E701" s="11"/>
      <c r="F701" s="11" t="s">
        <v>280</v>
      </c>
      <c r="G701" s="11" t="s">
        <v>261</v>
      </c>
      <c r="H701" s="11" t="s">
        <v>1852</v>
      </c>
    </row>
    <row r="702" spans="1:8" x14ac:dyDescent="0.25">
      <c r="A702" s="11" t="s">
        <v>293</v>
      </c>
      <c r="B702" s="11" t="s">
        <v>294</v>
      </c>
      <c r="C702" s="11" t="s">
        <v>1995</v>
      </c>
      <c r="D702" s="11" t="s">
        <v>1996</v>
      </c>
      <c r="E702" s="11"/>
      <c r="F702" s="11" t="s">
        <v>280</v>
      </c>
      <c r="G702" s="11" t="s">
        <v>261</v>
      </c>
      <c r="H702" s="11" t="s">
        <v>1852</v>
      </c>
    </row>
    <row r="703" spans="1:8" x14ac:dyDescent="0.25">
      <c r="A703" s="11" t="s">
        <v>293</v>
      </c>
      <c r="B703" s="11" t="s">
        <v>294</v>
      </c>
      <c r="C703" s="11" t="s">
        <v>1997</v>
      </c>
      <c r="D703" s="11" t="s">
        <v>1998</v>
      </c>
      <c r="E703" s="11"/>
      <c r="F703" s="11" t="s">
        <v>280</v>
      </c>
      <c r="G703" s="11" t="s">
        <v>261</v>
      </c>
      <c r="H703" s="11" t="s">
        <v>1852</v>
      </c>
    </row>
    <row r="704" spans="1:8" x14ac:dyDescent="0.25">
      <c r="A704" s="11" t="s">
        <v>293</v>
      </c>
      <c r="B704" s="11" t="s">
        <v>294</v>
      </c>
      <c r="C704" s="11" t="s">
        <v>1999</v>
      </c>
      <c r="D704" s="11" t="s">
        <v>2000</v>
      </c>
      <c r="E704" s="11"/>
      <c r="F704" s="11" t="s">
        <v>280</v>
      </c>
      <c r="G704" s="11" t="s">
        <v>261</v>
      </c>
      <c r="H704" s="11" t="s">
        <v>1852</v>
      </c>
    </row>
    <row r="705" spans="1:8" x14ac:dyDescent="0.25">
      <c r="A705" s="11" t="s">
        <v>293</v>
      </c>
      <c r="B705" s="11" t="s">
        <v>294</v>
      </c>
      <c r="C705" s="11" t="s">
        <v>2001</v>
      </c>
      <c r="D705" s="11" t="s">
        <v>2002</v>
      </c>
      <c r="E705" s="11"/>
      <c r="F705" s="11" t="s">
        <v>280</v>
      </c>
      <c r="G705" s="11" t="s">
        <v>261</v>
      </c>
      <c r="H705" s="11" t="s">
        <v>1852</v>
      </c>
    </row>
    <row r="706" spans="1:8" x14ac:dyDescent="0.25">
      <c r="A706" s="11" t="s">
        <v>293</v>
      </c>
      <c r="B706" s="11" t="s">
        <v>294</v>
      </c>
      <c r="C706" s="11" t="s">
        <v>2003</v>
      </c>
      <c r="D706" s="11" t="s">
        <v>2004</v>
      </c>
      <c r="E706" s="11"/>
      <c r="F706" s="11" t="s">
        <v>280</v>
      </c>
      <c r="G706" s="11" t="s">
        <v>261</v>
      </c>
      <c r="H706" s="11" t="s">
        <v>1852</v>
      </c>
    </row>
    <row r="707" spans="1:8" x14ac:dyDescent="0.25">
      <c r="A707" s="11" t="s">
        <v>293</v>
      </c>
      <c r="B707" s="11" t="s">
        <v>294</v>
      </c>
      <c r="C707" s="11" t="s">
        <v>2005</v>
      </c>
      <c r="D707" s="11" t="s">
        <v>2006</v>
      </c>
      <c r="E707" s="11"/>
      <c r="F707" s="11" t="s">
        <v>280</v>
      </c>
      <c r="G707" s="11" t="s">
        <v>261</v>
      </c>
      <c r="H707" s="11" t="s">
        <v>1852</v>
      </c>
    </row>
    <row r="708" spans="1:8" x14ac:dyDescent="0.25">
      <c r="A708" s="11" t="s">
        <v>293</v>
      </c>
      <c r="B708" s="11" t="s">
        <v>294</v>
      </c>
      <c r="C708" s="11" t="s">
        <v>2007</v>
      </c>
      <c r="D708" s="11" t="s">
        <v>2008</v>
      </c>
      <c r="E708" s="11"/>
      <c r="F708" s="11" t="s">
        <v>280</v>
      </c>
      <c r="G708" s="11" t="s">
        <v>261</v>
      </c>
      <c r="H708" s="11" t="s">
        <v>1852</v>
      </c>
    </row>
    <row r="709" spans="1:8" x14ac:dyDescent="0.25">
      <c r="A709" s="11" t="s">
        <v>293</v>
      </c>
      <c r="B709" s="11" t="s">
        <v>294</v>
      </c>
      <c r="C709" s="11" t="s">
        <v>2009</v>
      </c>
      <c r="D709" s="11" t="s">
        <v>2010</v>
      </c>
      <c r="E709" s="11"/>
      <c r="F709" s="11" t="s">
        <v>280</v>
      </c>
      <c r="G709" s="11" t="s">
        <v>261</v>
      </c>
      <c r="H709" s="11" t="s">
        <v>1852</v>
      </c>
    </row>
    <row r="710" spans="1:8" x14ac:dyDescent="0.25">
      <c r="A710" s="11" t="s">
        <v>293</v>
      </c>
      <c r="B710" s="11" t="s">
        <v>294</v>
      </c>
      <c r="C710" s="11" t="s">
        <v>2011</v>
      </c>
      <c r="D710" s="11" t="s">
        <v>2012</v>
      </c>
      <c r="E710" s="11"/>
      <c r="F710" s="11" t="s">
        <v>280</v>
      </c>
      <c r="G710" s="11" t="s">
        <v>261</v>
      </c>
      <c r="H710" s="11" t="s">
        <v>1852</v>
      </c>
    </row>
    <row r="711" spans="1:8" x14ac:dyDescent="0.25">
      <c r="A711" s="11" t="s">
        <v>293</v>
      </c>
      <c r="B711" s="11" t="s">
        <v>294</v>
      </c>
      <c r="C711" s="11" t="s">
        <v>2013</v>
      </c>
      <c r="D711" s="11" t="s">
        <v>2014</v>
      </c>
      <c r="E711" s="11"/>
      <c r="F711" s="11" t="s">
        <v>280</v>
      </c>
      <c r="G711" s="11" t="s">
        <v>261</v>
      </c>
      <c r="H711" s="11" t="s">
        <v>1852</v>
      </c>
    </row>
    <row r="712" spans="1:8" x14ac:dyDescent="0.25">
      <c r="A712" s="11" t="s">
        <v>293</v>
      </c>
      <c r="B712" s="11" t="s">
        <v>294</v>
      </c>
      <c r="C712" s="11" t="s">
        <v>2015</v>
      </c>
      <c r="D712" s="11" t="s">
        <v>2016</v>
      </c>
      <c r="E712" s="11"/>
      <c r="F712" s="11" t="s">
        <v>280</v>
      </c>
      <c r="G712" s="11" t="s">
        <v>261</v>
      </c>
      <c r="H712" s="11" t="s">
        <v>1852</v>
      </c>
    </row>
    <row r="713" spans="1:8" x14ac:dyDescent="0.25">
      <c r="A713" s="11" t="s">
        <v>293</v>
      </c>
      <c r="B713" s="11" t="s">
        <v>294</v>
      </c>
      <c r="C713" s="11" t="s">
        <v>2017</v>
      </c>
      <c r="D713" s="11" t="s">
        <v>2018</v>
      </c>
      <c r="E713" s="11"/>
      <c r="F713" s="11" t="s">
        <v>280</v>
      </c>
      <c r="G713" s="11" t="s">
        <v>261</v>
      </c>
      <c r="H713" s="11" t="s">
        <v>1852</v>
      </c>
    </row>
    <row r="714" spans="1:8" x14ac:dyDescent="0.25">
      <c r="A714" s="11" t="s">
        <v>293</v>
      </c>
      <c r="B714" s="11" t="s">
        <v>294</v>
      </c>
      <c r="C714" s="11" t="s">
        <v>2019</v>
      </c>
      <c r="D714" s="11" t="s">
        <v>2020</v>
      </c>
      <c r="E714" s="11"/>
      <c r="F714" s="11" t="s">
        <v>280</v>
      </c>
      <c r="G714" s="11" t="s">
        <v>261</v>
      </c>
      <c r="H714" s="11" t="s">
        <v>1852</v>
      </c>
    </row>
    <row r="715" spans="1:8" x14ac:dyDescent="0.25">
      <c r="A715" s="11" t="s">
        <v>293</v>
      </c>
      <c r="B715" s="11" t="s">
        <v>294</v>
      </c>
      <c r="C715" s="11" t="s">
        <v>2021</v>
      </c>
      <c r="D715" s="11" t="s">
        <v>2022</v>
      </c>
      <c r="E715" s="11"/>
      <c r="F715" s="11" t="s">
        <v>280</v>
      </c>
      <c r="G715" s="11" t="s">
        <v>261</v>
      </c>
      <c r="H715" s="11" t="s">
        <v>1852</v>
      </c>
    </row>
    <row r="716" spans="1:8" x14ac:dyDescent="0.25">
      <c r="A716" s="11" t="s">
        <v>293</v>
      </c>
      <c r="B716" s="11" t="s">
        <v>294</v>
      </c>
      <c r="C716" s="11" t="s">
        <v>2023</v>
      </c>
      <c r="D716" s="11" t="s">
        <v>2024</v>
      </c>
      <c r="E716" s="11"/>
      <c r="F716" s="11" t="s">
        <v>280</v>
      </c>
      <c r="G716" s="11" t="s">
        <v>261</v>
      </c>
      <c r="H716" s="11" t="s">
        <v>1852</v>
      </c>
    </row>
    <row r="717" spans="1:8" x14ac:dyDescent="0.25">
      <c r="A717" s="11" t="s">
        <v>293</v>
      </c>
      <c r="B717" s="11" t="s">
        <v>294</v>
      </c>
      <c r="C717" s="11" t="s">
        <v>2025</v>
      </c>
      <c r="D717" s="11" t="s">
        <v>2026</v>
      </c>
      <c r="E717" s="11"/>
      <c r="F717" s="11" t="s">
        <v>280</v>
      </c>
      <c r="G717" s="11" t="s">
        <v>261</v>
      </c>
      <c r="H717" s="11" t="s">
        <v>1852</v>
      </c>
    </row>
    <row r="718" spans="1:8" x14ac:dyDescent="0.25">
      <c r="A718" s="11" t="s">
        <v>293</v>
      </c>
      <c r="B718" s="11" t="s">
        <v>294</v>
      </c>
      <c r="C718" s="11" t="s">
        <v>2027</v>
      </c>
      <c r="D718" s="11" t="s">
        <v>2028</v>
      </c>
      <c r="E718" s="11"/>
      <c r="F718" s="11" t="s">
        <v>280</v>
      </c>
      <c r="G718" s="11" t="s">
        <v>261</v>
      </c>
      <c r="H718" s="11" t="s">
        <v>1852</v>
      </c>
    </row>
    <row r="719" spans="1:8" x14ac:dyDescent="0.25">
      <c r="A719" s="11" t="s">
        <v>293</v>
      </c>
      <c r="B719" s="11" t="s">
        <v>294</v>
      </c>
      <c r="C719" s="11" t="s">
        <v>2029</v>
      </c>
      <c r="D719" s="11" t="s">
        <v>2030</v>
      </c>
      <c r="E719" s="11"/>
      <c r="F719" s="11" t="s">
        <v>280</v>
      </c>
      <c r="G719" s="11" t="s">
        <v>261</v>
      </c>
      <c r="H719" s="11" t="s">
        <v>1852</v>
      </c>
    </row>
    <row r="720" spans="1:8" x14ac:dyDescent="0.25">
      <c r="A720" s="11" t="s">
        <v>293</v>
      </c>
      <c r="B720" s="11" t="s">
        <v>294</v>
      </c>
      <c r="C720" s="11" t="s">
        <v>2031</v>
      </c>
      <c r="D720" s="11" t="s">
        <v>2032</v>
      </c>
      <c r="E720" s="11"/>
      <c r="F720" s="11" t="s">
        <v>280</v>
      </c>
      <c r="G720" s="11" t="s">
        <v>261</v>
      </c>
      <c r="H720" s="11" t="s">
        <v>1852</v>
      </c>
    </row>
    <row r="721" spans="1:8" x14ac:dyDescent="0.25">
      <c r="A721" s="11" t="s">
        <v>293</v>
      </c>
      <c r="B721" s="11" t="s">
        <v>294</v>
      </c>
      <c r="C721" s="11" t="s">
        <v>2033</v>
      </c>
      <c r="D721" s="11" t="s">
        <v>2034</v>
      </c>
      <c r="E721" s="11"/>
      <c r="F721" s="11" t="s">
        <v>280</v>
      </c>
      <c r="G721" s="11" t="s">
        <v>261</v>
      </c>
      <c r="H721" s="11" t="s">
        <v>1852</v>
      </c>
    </row>
    <row r="722" spans="1:8" x14ac:dyDescent="0.25">
      <c r="A722" s="11" t="s">
        <v>293</v>
      </c>
      <c r="B722" s="11" t="s">
        <v>294</v>
      </c>
      <c r="C722" s="11" t="s">
        <v>2035</v>
      </c>
      <c r="D722" s="11" t="s">
        <v>2036</v>
      </c>
      <c r="E722" s="11"/>
      <c r="F722" s="11" t="s">
        <v>280</v>
      </c>
      <c r="G722" s="11" t="s">
        <v>261</v>
      </c>
      <c r="H722" s="11" t="s">
        <v>1852</v>
      </c>
    </row>
    <row r="723" spans="1:8" x14ac:dyDescent="0.25">
      <c r="A723" s="11" t="s">
        <v>293</v>
      </c>
      <c r="B723" s="11" t="s">
        <v>294</v>
      </c>
      <c r="C723" s="11" t="s">
        <v>2037</v>
      </c>
      <c r="D723" s="11" t="s">
        <v>2038</v>
      </c>
      <c r="E723" s="11"/>
      <c r="F723" s="11" t="s">
        <v>280</v>
      </c>
      <c r="G723" s="11" t="s">
        <v>261</v>
      </c>
      <c r="H723" s="11" t="s">
        <v>1852</v>
      </c>
    </row>
    <row r="724" spans="1:8" x14ac:dyDescent="0.25">
      <c r="A724" s="11" t="s">
        <v>293</v>
      </c>
      <c r="B724" s="11" t="s">
        <v>294</v>
      </c>
      <c r="C724" s="11" t="s">
        <v>2039</v>
      </c>
      <c r="D724" s="11" t="s">
        <v>2040</v>
      </c>
      <c r="E724" s="11"/>
      <c r="F724" s="11" t="s">
        <v>280</v>
      </c>
      <c r="G724" s="11" t="s">
        <v>261</v>
      </c>
      <c r="H724" s="11" t="s">
        <v>1852</v>
      </c>
    </row>
    <row r="725" spans="1:8" x14ac:dyDescent="0.25">
      <c r="A725" s="11" t="s">
        <v>293</v>
      </c>
      <c r="B725" s="11" t="s">
        <v>294</v>
      </c>
      <c r="C725" s="11" t="s">
        <v>2041</v>
      </c>
      <c r="D725" s="11" t="s">
        <v>2042</v>
      </c>
      <c r="E725" s="11"/>
      <c r="F725" s="11" t="s">
        <v>280</v>
      </c>
      <c r="G725" s="11" t="s">
        <v>261</v>
      </c>
      <c r="H725" s="11" t="s">
        <v>1852</v>
      </c>
    </row>
    <row r="726" spans="1:8" x14ac:dyDescent="0.25">
      <c r="A726" s="11" t="s">
        <v>293</v>
      </c>
      <c r="B726" s="11" t="s">
        <v>294</v>
      </c>
      <c r="C726" s="11" t="s">
        <v>2043</v>
      </c>
      <c r="D726" s="11" t="s">
        <v>2044</v>
      </c>
      <c r="E726" s="11"/>
      <c r="F726" s="11" t="s">
        <v>280</v>
      </c>
      <c r="G726" s="11" t="s">
        <v>261</v>
      </c>
      <c r="H726" s="11" t="s">
        <v>1852</v>
      </c>
    </row>
    <row r="727" spans="1:8" x14ac:dyDescent="0.25">
      <c r="A727" s="11" t="s">
        <v>293</v>
      </c>
      <c r="B727" s="11" t="s">
        <v>294</v>
      </c>
      <c r="C727" s="11" t="s">
        <v>2045</v>
      </c>
      <c r="D727" s="11" t="s">
        <v>2046</v>
      </c>
      <c r="E727" s="11"/>
      <c r="F727" s="11" t="s">
        <v>280</v>
      </c>
      <c r="G727" s="11" t="s">
        <v>261</v>
      </c>
      <c r="H727" s="11" t="s">
        <v>1852</v>
      </c>
    </row>
    <row r="728" spans="1:8" x14ac:dyDescent="0.25">
      <c r="A728" s="11" t="s">
        <v>293</v>
      </c>
      <c r="B728" s="11" t="s">
        <v>294</v>
      </c>
      <c r="C728" s="11" t="s">
        <v>2047</v>
      </c>
      <c r="D728" s="11" t="s">
        <v>2048</v>
      </c>
      <c r="E728" s="11"/>
      <c r="F728" s="11" t="s">
        <v>280</v>
      </c>
      <c r="G728" s="11" t="s">
        <v>261</v>
      </c>
      <c r="H728" s="11" t="s">
        <v>1852</v>
      </c>
    </row>
    <row r="729" spans="1:8" x14ac:dyDescent="0.25">
      <c r="A729" s="11" t="s">
        <v>293</v>
      </c>
      <c r="B729" s="11" t="s">
        <v>294</v>
      </c>
      <c r="C729" s="11" t="s">
        <v>2049</v>
      </c>
      <c r="D729" s="11" t="s">
        <v>2050</v>
      </c>
      <c r="E729" s="11"/>
      <c r="F729" s="11" t="s">
        <v>280</v>
      </c>
      <c r="G729" s="11" t="s">
        <v>261</v>
      </c>
      <c r="H729" s="11" t="s">
        <v>1852</v>
      </c>
    </row>
    <row r="730" spans="1:8" x14ac:dyDescent="0.25">
      <c r="A730" s="11" t="s">
        <v>293</v>
      </c>
      <c r="B730" s="11" t="s">
        <v>294</v>
      </c>
      <c r="C730" s="11" t="s">
        <v>2051</v>
      </c>
      <c r="D730" s="11" t="s">
        <v>2052</v>
      </c>
      <c r="E730" s="11"/>
      <c r="F730" s="11" t="s">
        <v>280</v>
      </c>
      <c r="G730" s="11" t="s">
        <v>261</v>
      </c>
      <c r="H730" s="11" t="s">
        <v>1852</v>
      </c>
    </row>
    <row r="731" spans="1:8" x14ac:dyDescent="0.25">
      <c r="A731" s="11" t="s">
        <v>293</v>
      </c>
      <c r="B731" s="11" t="s">
        <v>294</v>
      </c>
      <c r="C731" s="11" t="s">
        <v>2053</v>
      </c>
      <c r="D731" s="11" t="s">
        <v>2054</v>
      </c>
      <c r="E731" s="11"/>
      <c r="F731" s="11" t="s">
        <v>280</v>
      </c>
      <c r="G731" s="11" t="s">
        <v>261</v>
      </c>
      <c r="H731" s="11" t="s">
        <v>1852</v>
      </c>
    </row>
    <row r="732" spans="1:8" x14ac:dyDescent="0.25">
      <c r="A732" s="11" t="s">
        <v>293</v>
      </c>
      <c r="B732" s="11" t="s">
        <v>294</v>
      </c>
      <c r="C732" s="11" t="s">
        <v>2055</v>
      </c>
      <c r="D732" s="11" t="s">
        <v>2056</v>
      </c>
      <c r="E732" s="11"/>
      <c r="F732" s="11" t="s">
        <v>280</v>
      </c>
      <c r="G732" s="11" t="s">
        <v>261</v>
      </c>
      <c r="H732" s="11" t="s">
        <v>1852</v>
      </c>
    </row>
    <row r="733" spans="1:8" x14ac:dyDescent="0.25">
      <c r="A733" s="11" t="s">
        <v>293</v>
      </c>
      <c r="B733" s="11" t="s">
        <v>294</v>
      </c>
      <c r="C733" s="11" t="s">
        <v>2057</v>
      </c>
      <c r="D733" s="11" t="s">
        <v>2058</v>
      </c>
      <c r="E733" s="11"/>
      <c r="F733" s="11" t="s">
        <v>280</v>
      </c>
      <c r="G733" s="11" t="s">
        <v>261</v>
      </c>
      <c r="H733" s="11" t="s">
        <v>1852</v>
      </c>
    </row>
    <row r="734" spans="1:8" x14ac:dyDescent="0.25">
      <c r="A734" s="11" t="s">
        <v>293</v>
      </c>
      <c r="B734" s="11" t="s">
        <v>294</v>
      </c>
      <c r="C734" s="11" t="s">
        <v>2059</v>
      </c>
      <c r="D734" s="11" t="s">
        <v>2060</v>
      </c>
      <c r="E734" s="11"/>
      <c r="F734" s="11" t="s">
        <v>280</v>
      </c>
      <c r="G734" s="11" t="s">
        <v>261</v>
      </c>
      <c r="H734" s="11" t="s">
        <v>1852</v>
      </c>
    </row>
    <row r="735" spans="1:8" x14ac:dyDescent="0.25">
      <c r="A735" s="11" t="s">
        <v>293</v>
      </c>
      <c r="B735" s="11" t="s">
        <v>294</v>
      </c>
      <c r="C735" s="11" t="s">
        <v>2061</v>
      </c>
      <c r="D735" s="11" t="s">
        <v>2062</v>
      </c>
      <c r="E735" s="11"/>
      <c r="F735" s="11" t="s">
        <v>280</v>
      </c>
      <c r="G735" s="11" t="s">
        <v>261</v>
      </c>
      <c r="H735" s="11" t="s">
        <v>1852</v>
      </c>
    </row>
    <row r="736" spans="1:8" x14ac:dyDescent="0.25">
      <c r="A736" s="11" t="s">
        <v>293</v>
      </c>
      <c r="B736" s="11" t="s">
        <v>294</v>
      </c>
      <c r="C736" s="11" t="s">
        <v>2063</v>
      </c>
      <c r="D736" s="11" t="s">
        <v>2064</v>
      </c>
      <c r="E736" s="11"/>
      <c r="F736" s="11" t="s">
        <v>280</v>
      </c>
      <c r="G736" s="11" t="s">
        <v>261</v>
      </c>
      <c r="H736" s="11" t="s">
        <v>1852</v>
      </c>
    </row>
    <row r="737" spans="1:8" x14ac:dyDescent="0.25">
      <c r="A737" s="11" t="s">
        <v>293</v>
      </c>
      <c r="B737" s="11" t="s">
        <v>294</v>
      </c>
      <c r="C737" s="11" t="s">
        <v>2065</v>
      </c>
      <c r="D737" s="11" t="s">
        <v>2066</v>
      </c>
      <c r="E737" s="11"/>
      <c r="F737" s="11" t="s">
        <v>280</v>
      </c>
      <c r="G737" s="11" t="s">
        <v>261</v>
      </c>
      <c r="H737" s="11" t="s">
        <v>1852</v>
      </c>
    </row>
    <row r="738" spans="1:8" x14ac:dyDescent="0.25">
      <c r="A738" s="11" t="s">
        <v>293</v>
      </c>
      <c r="B738" s="11" t="s">
        <v>294</v>
      </c>
      <c r="C738" s="11" t="s">
        <v>2067</v>
      </c>
      <c r="D738" s="11" t="s">
        <v>2068</v>
      </c>
      <c r="E738" s="11"/>
      <c r="F738" s="11" t="s">
        <v>280</v>
      </c>
      <c r="G738" s="11" t="s">
        <v>261</v>
      </c>
      <c r="H738" s="11" t="s">
        <v>1852</v>
      </c>
    </row>
    <row r="739" spans="1:8" x14ac:dyDescent="0.25">
      <c r="A739" s="11" t="s">
        <v>293</v>
      </c>
      <c r="B739" s="11" t="s">
        <v>294</v>
      </c>
      <c r="C739" s="11" t="s">
        <v>2069</v>
      </c>
      <c r="D739" s="11" t="s">
        <v>2070</v>
      </c>
      <c r="E739" s="11"/>
      <c r="F739" s="11" t="s">
        <v>280</v>
      </c>
      <c r="G739" s="11" t="s">
        <v>261</v>
      </c>
      <c r="H739" s="11" t="s">
        <v>1852</v>
      </c>
    </row>
    <row r="740" spans="1:8" x14ac:dyDescent="0.25">
      <c r="A740" s="11" t="s">
        <v>293</v>
      </c>
      <c r="B740" s="11" t="s">
        <v>294</v>
      </c>
      <c r="C740" s="11" t="s">
        <v>2071</v>
      </c>
      <c r="D740" s="11" t="s">
        <v>2072</v>
      </c>
      <c r="E740" s="11"/>
      <c r="F740" s="11" t="s">
        <v>280</v>
      </c>
      <c r="G740" s="11" t="s">
        <v>261</v>
      </c>
      <c r="H740" s="11" t="s">
        <v>1852</v>
      </c>
    </row>
    <row r="741" spans="1:8" x14ac:dyDescent="0.25">
      <c r="A741" s="11" t="s">
        <v>293</v>
      </c>
      <c r="B741" s="11" t="s">
        <v>294</v>
      </c>
      <c r="C741" s="11" t="s">
        <v>2073</v>
      </c>
      <c r="D741" s="11" t="s">
        <v>2074</v>
      </c>
      <c r="E741" s="11"/>
      <c r="F741" s="11" t="s">
        <v>280</v>
      </c>
      <c r="G741" s="11" t="s">
        <v>261</v>
      </c>
      <c r="H741" s="11" t="s">
        <v>1852</v>
      </c>
    </row>
    <row r="742" spans="1:8" x14ac:dyDescent="0.25">
      <c r="A742" s="11" t="s">
        <v>293</v>
      </c>
      <c r="B742" s="11" t="s">
        <v>294</v>
      </c>
      <c r="C742" s="11" t="s">
        <v>2075</v>
      </c>
      <c r="D742" s="11" t="s">
        <v>2076</v>
      </c>
      <c r="E742" s="11"/>
      <c r="F742" s="11" t="s">
        <v>280</v>
      </c>
      <c r="G742" s="11" t="s">
        <v>261</v>
      </c>
      <c r="H742" s="11" t="s">
        <v>1852</v>
      </c>
    </row>
    <row r="743" spans="1:8" x14ac:dyDescent="0.25">
      <c r="A743" s="11" t="s">
        <v>293</v>
      </c>
      <c r="B743" s="11" t="s">
        <v>294</v>
      </c>
      <c r="C743" s="11" t="s">
        <v>2077</v>
      </c>
      <c r="D743" s="11" t="s">
        <v>2078</v>
      </c>
      <c r="E743" s="11"/>
      <c r="F743" s="11" t="s">
        <v>280</v>
      </c>
      <c r="G743" s="11" t="s">
        <v>261</v>
      </c>
      <c r="H743" s="11" t="s">
        <v>1852</v>
      </c>
    </row>
    <row r="744" spans="1:8" x14ac:dyDescent="0.25">
      <c r="A744" s="11" t="s">
        <v>293</v>
      </c>
      <c r="B744" s="11" t="s">
        <v>294</v>
      </c>
      <c r="C744" s="11" t="s">
        <v>2079</v>
      </c>
      <c r="D744" s="11" t="s">
        <v>2080</v>
      </c>
      <c r="E744" s="11"/>
      <c r="F744" s="11" t="s">
        <v>280</v>
      </c>
      <c r="G744" s="11" t="s">
        <v>261</v>
      </c>
      <c r="H744" s="11" t="s">
        <v>1852</v>
      </c>
    </row>
    <row r="745" spans="1:8" x14ac:dyDescent="0.25">
      <c r="A745" s="11" t="s">
        <v>293</v>
      </c>
      <c r="B745" s="11" t="s">
        <v>294</v>
      </c>
      <c r="C745" s="11" t="s">
        <v>2081</v>
      </c>
      <c r="D745" s="11" t="s">
        <v>2082</v>
      </c>
      <c r="E745" s="11"/>
      <c r="F745" s="11" t="s">
        <v>280</v>
      </c>
      <c r="G745" s="11" t="s">
        <v>261</v>
      </c>
      <c r="H745" s="11" t="s">
        <v>1852</v>
      </c>
    </row>
    <row r="746" spans="1:8" x14ac:dyDescent="0.25">
      <c r="A746" s="11" t="s">
        <v>293</v>
      </c>
      <c r="B746" s="11" t="s">
        <v>294</v>
      </c>
      <c r="C746" s="11" t="s">
        <v>2083</v>
      </c>
      <c r="D746" s="11" t="s">
        <v>2084</v>
      </c>
      <c r="E746" s="11"/>
      <c r="F746" s="11" t="s">
        <v>280</v>
      </c>
      <c r="G746" s="11" t="s">
        <v>261</v>
      </c>
      <c r="H746" s="11" t="s">
        <v>1852</v>
      </c>
    </row>
    <row r="747" spans="1:8" x14ac:dyDescent="0.25">
      <c r="A747" s="11" t="s">
        <v>293</v>
      </c>
      <c r="B747" s="11" t="s">
        <v>294</v>
      </c>
      <c r="C747" s="11" t="s">
        <v>2085</v>
      </c>
      <c r="D747" s="11" t="s">
        <v>2086</v>
      </c>
      <c r="E747" s="11"/>
      <c r="F747" s="11" t="s">
        <v>280</v>
      </c>
      <c r="G747" s="11" t="s">
        <v>261</v>
      </c>
      <c r="H747" s="11" t="s">
        <v>1852</v>
      </c>
    </row>
    <row r="748" spans="1:8" x14ac:dyDescent="0.25">
      <c r="A748" s="11" t="s">
        <v>293</v>
      </c>
      <c r="B748" s="11" t="s">
        <v>294</v>
      </c>
      <c r="C748" s="11" t="s">
        <v>2087</v>
      </c>
      <c r="D748" s="11" t="s">
        <v>2088</v>
      </c>
      <c r="E748" s="11"/>
      <c r="F748" s="11" t="s">
        <v>280</v>
      </c>
      <c r="G748" s="11" t="s">
        <v>261</v>
      </c>
      <c r="H748" s="11" t="s">
        <v>1852</v>
      </c>
    </row>
    <row r="749" spans="1:8" x14ac:dyDescent="0.25">
      <c r="A749" s="11" t="s">
        <v>293</v>
      </c>
      <c r="B749" s="11" t="s">
        <v>294</v>
      </c>
      <c r="C749" s="11" t="s">
        <v>2089</v>
      </c>
      <c r="D749" s="11" t="s">
        <v>2090</v>
      </c>
      <c r="E749" s="11"/>
      <c r="F749" s="11" t="s">
        <v>280</v>
      </c>
      <c r="G749" s="11" t="s">
        <v>261</v>
      </c>
      <c r="H749" s="11" t="s">
        <v>1852</v>
      </c>
    </row>
    <row r="750" spans="1:8" x14ac:dyDescent="0.25">
      <c r="A750" s="11" t="s">
        <v>293</v>
      </c>
      <c r="B750" s="11" t="s">
        <v>294</v>
      </c>
      <c r="C750" s="11" t="s">
        <v>2091</v>
      </c>
      <c r="D750" s="11" t="s">
        <v>2092</v>
      </c>
      <c r="E750" s="11"/>
      <c r="F750" s="11" t="s">
        <v>280</v>
      </c>
      <c r="G750" s="11" t="s">
        <v>261</v>
      </c>
      <c r="H750" s="11" t="s">
        <v>1852</v>
      </c>
    </row>
    <row r="751" spans="1:8" x14ac:dyDescent="0.25">
      <c r="A751" s="11" t="s">
        <v>293</v>
      </c>
      <c r="B751" s="11" t="s">
        <v>294</v>
      </c>
      <c r="C751" s="11" t="s">
        <v>2093</v>
      </c>
      <c r="D751" s="11" t="s">
        <v>2094</v>
      </c>
      <c r="E751" s="11"/>
      <c r="F751" s="11" t="s">
        <v>280</v>
      </c>
      <c r="G751" s="11" t="s">
        <v>261</v>
      </c>
      <c r="H751" s="11" t="s">
        <v>1852</v>
      </c>
    </row>
    <row r="752" spans="1:8" x14ac:dyDescent="0.25">
      <c r="A752" s="11" t="s">
        <v>293</v>
      </c>
      <c r="B752" s="11" t="s">
        <v>294</v>
      </c>
      <c r="C752" s="11" t="s">
        <v>2095</v>
      </c>
      <c r="D752" s="11" t="s">
        <v>2096</v>
      </c>
      <c r="E752" s="11"/>
      <c r="F752" s="11" t="s">
        <v>280</v>
      </c>
      <c r="G752" s="11" t="s">
        <v>261</v>
      </c>
      <c r="H752" s="11" t="s">
        <v>1852</v>
      </c>
    </row>
    <row r="753" spans="1:8" x14ac:dyDescent="0.25">
      <c r="A753" s="11" t="s">
        <v>293</v>
      </c>
      <c r="B753" s="11" t="s">
        <v>294</v>
      </c>
      <c r="C753" s="11" t="s">
        <v>2097</v>
      </c>
      <c r="D753" s="11" t="s">
        <v>2098</v>
      </c>
      <c r="E753" s="11"/>
      <c r="F753" s="11" t="s">
        <v>280</v>
      </c>
      <c r="G753" s="11" t="s">
        <v>261</v>
      </c>
      <c r="H753" s="11" t="s">
        <v>1852</v>
      </c>
    </row>
    <row r="754" spans="1:8" x14ac:dyDescent="0.25">
      <c r="A754" s="11" t="s">
        <v>293</v>
      </c>
      <c r="B754" s="11" t="s">
        <v>294</v>
      </c>
      <c r="C754" s="11" t="s">
        <v>2099</v>
      </c>
      <c r="D754" s="11" t="s">
        <v>2100</v>
      </c>
      <c r="E754" s="11"/>
      <c r="F754" s="11" t="s">
        <v>280</v>
      </c>
      <c r="G754" s="11" t="s">
        <v>261</v>
      </c>
      <c r="H754" s="11" t="s">
        <v>1852</v>
      </c>
    </row>
    <row r="755" spans="1:8" x14ac:dyDescent="0.25">
      <c r="A755" s="11" t="s">
        <v>293</v>
      </c>
      <c r="B755" s="11" t="s">
        <v>294</v>
      </c>
      <c r="C755" s="11" t="s">
        <v>2101</v>
      </c>
      <c r="D755" s="11" t="s">
        <v>2102</v>
      </c>
      <c r="E755" s="11"/>
      <c r="F755" s="11" t="s">
        <v>280</v>
      </c>
      <c r="G755" s="11" t="s">
        <v>261</v>
      </c>
      <c r="H755" s="11" t="s">
        <v>1852</v>
      </c>
    </row>
    <row r="756" spans="1:8" x14ac:dyDescent="0.25">
      <c r="A756" s="11" t="s">
        <v>293</v>
      </c>
      <c r="B756" s="11" t="s">
        <v>294</v>
      </c>
      <c r="C756" s="11" t="s">
        <v>2103</v>
      </c>
      <c r="D756" s="11" t="s">
        <v>2104</v>
      </c>
      <c r="E756" s="11"/>
      <c r="F756" s="11" t="s">
        <v>280</v>
      </c>
      <c r="G756" s="11" t="s">
        <v>261</v>
      </c>
      <c r="H756" s="11" t="s">
        <v>1852</v>
      </c>
    </row>
    <row r="757" spans="1:8" x14ac:dyDescent="0.25">
      <c r="A757" s="11" t="s">
        <v>293</v>
      </c>
      <c r="B757" s="11" t="s">
        <v>294</v>
      </c>
      <c r="C757" s="11" t="s">
        <v>2105</v>
      </c>
      <c r="D757" s="11" t="s">
        <v>2106</v>
      </c>
      <c r="E757" s="11"/>
      <c r="F757" s="11" t="s">
        <v>280</v>
      </c>
      <c r="G757" s="11" t="s">
        <v>261</v>
      </c>
      <c r="H757" s="11" t="s">
        <v>1852</v>
      </c>
    </row>
    <row r="758" spans="1:8" x14ac:dyDescent="0.25">
      <c r="A758" s="11" t="s">
        <v>293</v>
      </c>
      <c r="B758" s="11" t="s">
        <v>294</v>
      </c>
      <c r="C758" s="11" t="s">
        <v>2107</v>
      </c>
      <c r="D758" s="11" t="s">
        <v>2108</v>
      </c>
      <c r="E758" s="11"/>
      <c r="F758" s="11" t="s">
        <v>280</v>
      </c>
      <c r="G758" s="11" t="s">
        <v>261</v>
      </c>
      <c r="H758" s="11" t="s">
        <v>1852</v>
      </c>
    </row>
    <row r="759" spans="1:8" x14ac:dyDescent="0.25">
      <c r="A759" s="11" t="s">
        <v>293</v>
      </c>
      <c r="B759" s="11" t="s">
        <v>294</v>
      </c>
      <c r="C759" s="11" t="s">
        <v>2109</v>
      </c>
      <c r="D759" s="11" t="s">
        <v>2110</v>
      </c>
      <c r="E759" s="11"/>
      <c r="F759" s="11" t="s">
        <v>280</v>
      </c>
      <c r="G759" s="11" t="s">
        <v>261</v>
      </c>
      <c r="H759" s="11" t="s">
        <v>1852</v>
      </c>
    </row>
    <row r="760" spans="1:8" x14ac:dyDescent="0.25">
      <c r="A760" s="11" t="s">
        <v>293</v>
      </c>
      <c r="B760" s="11" t="s">
        <v>294</v>
      </c>
      <c r="C760" s="11" t="s">
        <v>2111</v>
      </c>
      <c r="D760" s="11" t="s">
        <v>2112</v>
      </c>
      <c r="E760" s="11"/>
      <c r="F760" s="11" t="s">
        <v>280</v>
      </c>
      <c r="G760" s="11" t="s">
        <v>261</v>
      </c>
      <c r="H760" s="11" t="s">
        <v>1852</v>
      </c>
    </row>
    <row r="761" spans="1:8" x14ac:dyDescent="0.25">
      <c r="A761" s="11" t="s">
        <v>293</v>
      </c>
      <c r="B761" s="11" t="s">
        <v>294</v>
      </c>
      <c r="C761" s="11" t="s">
        <v>2113</v>
      </c>
      <c r="D761" s="11" t="s">
        <v>2114</v>
      </c>
      <c r="E761" s="11"/>
      <c r="F761" s="11" t="s">
        <v>280</v>
      </c>
      <c r="G761" s="11" t="s">
        <v>261</v>
      </c>
      <c r="H761" s="11" t="s">
        <v>1852</v>
      </c>
    </row>
    <row r="762" spans="1:8" x14ac:dyDescent="0.25">
      <c r="A762" s="11" t="s">
        <v>293</v>
      </c>
      <c r="B762" s="11" t="s">
        <v>294</v>
      </c>
      <c r="C762" s="11" t="s">
        <v>2115</v>
      </c>
      <c r="D762" s="11" t="s">
        <v>2116</v>
      </c>
      <c r="E762" s="11"/>
      <c r="F762" s="11" t="s">
        <v>280</v>
      </c>
      <c r="G762" s="11" t="s">
        <v>261</v>
      </c>
      <c r="H762" s="11" t="s">
        <v>1852</v>
      </c>
    </row>
    <row r="763" spans="1:8" x14ac:dyDescent="0.25">
      <c r="A763" s="11" t="s">
        <v>293</v>
      </c>
      <c r="B763" s="11" t="s">
        <v>294</v>
      </c>
      <c r="C763" s="11" t="s">
        <v>2117</v>
      </c>
      <c r="D763" s="11" t="s">
        <v>2118</v>
      </c>
      <c r="E763" s="11"/>
      <c r="F763" s="11" t="s">
        <v>280</v>
      </c>
      <c r="G763" s="11" t="s">
        <v>261</v>
      </c>
      <c r="H763" s="11" t="s">
        <v>1852</v>
      </c>
    </row>
    <row r="764" spans="1:8" x14ac:dyDescent="0.25">
      <c r="A764" s="11" t="s">
        <v>293</v>
      </c>
      <c r="B764" s="11" t="s">
        <v>294</v>
      </c>
      <c r="C764" s="11" t="s">
        <v>2119</v>
      </c>
      <c r="D764" s="11" t="s">
        <v>2120</v>
      </c>
      <c r="E764" s="11"/>
      <c r="F764" s="11" t="s">
        <v>280</v>
      </c>
      <c r="G764" s="11" t="s">
        <v>261</v>
      </c>
      <c r="H764" s="11" t="s">
        <v>1852</v>
      </c>
    </row>
    <row r="765" spans="1:8" x14ac:dyDescent="0.25">
      <c r="A765" s="11" t="s">
        <v>293</v>
      </c>
      <c r="B765" s="11" t="s">
        <v>294</v>
      </c>
      <c r="C765" s="11" t="s">
        <v>2121</v>
      </c>
      <c r="D765" s="11" t="s">
        <v>2122</v>
      </c>
      <c r="E765" s="11"/>
      <c r="F765" s="11" t="s">
        <v>280</v>
      </c>
      <c r="G765" s="11" t="s">
        <v>261</v>
      </c>
      <c r="H765" s="11" t="s">
        <v>1852</v>
      </c>
    </row>
    <row r="766" spans="1:8" x14ac:dyDescent="0.25">
      <c r="A766" s="11" t="s">
        <v>293</v>
      </c>
      <c r="B766" s="11" t="s">
        <v>294</v>
      </c>
      <c r="C766" s="11" t="s">
        <v>2123</v>
      </c>
      <c r="D766" s="11" t="s">
        <v>2124</v>
      </c>
      <c r="E766" s="11"/>
      <c r="F766" s="11" t="s">
        <v>280</v>
      </c>
      <c r="G766" s="11" t="s">
        <v>261</v>
      </c>
      <c r="H766" s="11" t="s">
        <v>1852</v>
      </c>
    </row>
    <row r="767" spans="1:8" x14ac:dyDescent="0.25">
      <c r="A767" s="11" t="s">
        <v>293</v>
      </c>
      <c r="B767" s="11" t="s">
        <v>294</v>
      </c>
      <c r="C767" s="11" t="s">
        <v>2125</v>
      </c>
      <c r="D767" s="11" t="s">
        <v>2126</v>
      </c>
      <c r="E767" s="11"/>
      <c r="F767" s="11" t="s">
        <v>280</v>
      </c>
      <c r="G767" s="11" t="s">
        <v>261</v>
      </c>
      <c r="H767" s="11" t="s">
        <v>1852</v>
      </c>
    </row>
    <row r="768" spans="1:8" x14ac:dyDescent="0.25">
      <c r="A768" s="11" t="s">
        <v>293</v>
      </c>
      <c r="B768" s="11" t="s">
        <v>294</v>
      </c>
      <c r="C768" s="11" t="s">
        <v>2127</v>
      </c>
      <c r="D768" s="11" t="s">
        <v>2128</v>
      </c>
      <c r="E768" s="11"/>
      <c r="F768" s="11" t="s">
        <v>280</v>
      </c>
      <c r="G768" s="11" t="s">
        <v>261</v>
      </c>
      <c r="H768" s="11" t="s">
        <v>1852</v>
      </c>
    </row>
    <row r="769" spans="1:8" x14ac:dyDescent="0.25">
      <c r="A769" s="11" t="s">
        <v>293</v>
      </c>
      <c r="B769" s="11" t="s">
        <v>294</v>
      </c>
      <c r="C769" s="11" t="s">
        <v>2129</v>
      </c>
      <c r="D769" s="11" t="s">
        <v>2130</v>
      </c>
      <c r="E769" s="11"/>
      <c r="F769" s="11" t="s">
        <v>280</v>
      </c>
      <c r="G769" s="11" t="s">
        <v>261</v>
      </c>
      <c r="H769" s="11" t="s">
        <v>1852</v>
      </c>
    </row>
    <row r="770" spans="1:8" x14ac:dyDescent="0.25">
      <c r="A770" s="11" t="s">
        <v>293</v>
      </c>
      <c r="B770" s="11" t="s">
        <v>294</v>
      </c>
      <c r="C770" s="11" t="s">
        <v>2131</v>
      </c>
      <c r="D770" s="11" t="s">
        <v>2132</v>
      </c>
      <c r="E770" s="11"/>
      <c r="F770" s="11" t="s">
        <v>280</v>
      </c>
      <c r="G770" s="11" t="s">
        <v>261</v>
      </c>
      <c r="H770" s="11" t="s">
        <v>1852</v>
      </c>
    </row>
    <row r="771" spans="1:8" x14ac:dyDescent="0.25">
      <c r="A771" s="11" t="s">
        <v>293</v>
      </c>
      <c r="B771" s="11" t="s">
        <v>294</v>
      </c>
      <c r="C771" s="11" t="s">
        <v>2133</v>
      </c>
      <c r="D771" s="11" t="s">
        <v>2134</v>
      </c>
      <c r="E771" s="11"/>
      <c r="F771" s="11" t="s">
        <v>280</v>
      </c>
      <c r="G771" s="11" t="s">
        <v>261</v>
      </c>
      <c r="H771" s="11" t="s">
        <v>1852</v>
      </c>
    </row>
    <row r="772" spans="1:8" x14ac:dyDescent="0.25">
      <c r="A772" s="11" t="s">
        <v>293</v>
      </c>
      <c r="B772" s="11" t="s">
        <v>294</v>
      </c>
      <c r="C772" s="11" t="s">
        <v>2135</v>
      </c>
      <c r="D772" s="11" t="s">
        <v>2136</v>
      </c>
      <c r="E772" s="11"/>
      <c r="F772" s="11" t="s">
        <v>280</v>
      </c>
      <c r="G772" s="11" t="s">
        <v>261</v>
      </c>
      <c r="H772" s="11" t="s">
        <v>1852</v>
      </c>
    </row>
    <row r="773" spans="1:8" x14ac:dyDescent="0.25">
      <c r="A773" s="11" t="s">
        <v>299</v>
      </c>
      <c r="B773" s="11" t="s">
        <v>2137</v>
      </c>
      <c r="C773" s="11" t="s">
        <v>2138</v>
      </c>
      <c r="D773" s="11" t="s">
        <v>2139</v>
      </c>
      <c r="E773" s="11"/>
      <c r="F773" s="11" t="s">
        <v>280</v>
      </c>
      <c r="G773" s="11" t="s">
        <v>261</v>
      </c>
      <c r="H773" s="11" t="s">
        <v>1852</v>
      </c>
    </row>
    <row r="774" spans="1:8" x14ac:dyDescent="0.25">
      <c r="A774" s="11" t="s">
        <v>299</v>
      </c>
      <c r="B774" s="11" t="s">
        <v>2137</v>
      </c>
      <c r="C774" s="11" t="s">
        <v>2140</v>
      </c>
      <c r="D774" s="11" t="s">
        <v>2141</v>
      </c>
      <c r="E774" s="11"/>
      <c r="F774" s="11" t="s">
        <v>280</v>
      </c>
      <c r="G774" s="11" t="s">
        <v>261</v>
      </c>
      <c r="H774" s="11" t="s">
        <v>1852</v>
      </c>
    </row>
    <row r="775" spans="1:8" x14ac:dyDescent="0.25">
      <c r="A775" s="11" t="s">
        <v>299</v>
      </c>
      <c r="B775" s="11" t="s">
        <v>2137</v>
      </c>
      <c r="C775" s="11" t="s">
        <v>2142</v>
      </c>
      <c r="D775" s="11" t="s">
        <v>2143</v>
      </c>
      <c r="E775" s="11"/>
      <c r="F775" s="11" t="s">
        <v>280</v>
      </c>
      <c r="G775" s="11" t="s">
        <v>261</v>
      </c>
      <c r="H775" s="11" t="s">
        <v>1852</v>
      </c>
    </row>
    <row r="776" spans="1:8" x14ac:dyDescent="0.25">
      <c r="A776" s="11" t="s">
        <v>299</v>
      </c>
      <c r="B776" s="11" t="s">
        <v>2137</v>
      </c>
      <c r="C776" s="11" t="s">
        <v>2144</v>
      </c>
      <c r="D776" s="11" t="s">
        <v>2145</v>
      </c>
      <c r="E776" s="11"/>
      <c r="F776" s="11" t="s">
        <v>280</v>
      </c>
      <c r="G776" s="11" t="s">
        <v>261</v>
      </c>
      <c r="H776" s="11" t="s">
        <v>1852</v>
      </c>
    </row>
    <row r="777" spans="1:8" x14ac:dyDescent="0.25">
      <c r="A777" s="11" t="s">
        <v>299</v>
      </c>
      <c r="B777" s="11" t="s">
        <v>2137</v>
      </c>
      <c r="C777" s="11" t="s">
        <v>2146</v>
      </c>
      <c r="D777" s="11" t="s">
        <v>2147</v>
      </c>
      <c r="E777" s="11"/>
      <c r="F777" s="11" t="s">
        <v>280</v>
      </c>
      <c r="G777" s="11" t="s">
        <v>261</v>
      </c>
      <c r="H777" s="11" t="s">
        <v>1852</v>
      </c>
    </row>
    <row r="778" spans="1:8" x14ac:dyDescent="0.25">
      <c r="A778" s="11" t="s">
        <v>299</v>
      </c>
      <c r="B778" s="11" t="s">
        <v>2137</v>
      </c>
      <c r="C778" s="11" t="s">
        <v>2148</v>
      </c>
      <c r="D778" s="11" t="s">
        <v>2149</v>
      </c>
      <c r="E778" s="11"/>
      <c r="F778" s="11" t="s">
        <v>280</v>
      </c>
      <c r="G778" s="11" t="s">
        <v>261</v>
      </c>
      <c r="H778" s="11" t="s">
        <v>1852</v>
      </c>
    </row>
    <row r="779" spans="1:8" x14ac:dyDescent="0.25">
      <c r="A779" s="11" t="s">
        <v>299</v>
      </c>
      <c r="B779" s="11" t="s">
        <v>2137</v>
      </c>
      <c r="C779" s="11" t="s">
        <v>2150</v>
      </c>
      <c r="D779" s="11" t="s">
        <v>2151</v>
      </c>
      <c r="E779" s="11"/>
      <c r="F779" s="11" t="s">
        <v>280</v>
      </c>
      <c r="G779" s="11" t="s">
        <v>261</v>
      </c>
      <c r="H779" s="11" t="s">
        <v>1852</v>
      </c>
    </row>
    <row r="780" spans="1:8" x14ac:dyDescent="0.25">
      <c r="A780" s="11" t="s">
        <v>299</v>
      </c>
      <c r="B780" s="11" t="s">
        <v>2137</v>
      </c>
      <c r="C780" s="11" t="s">
        <v>2152</v>
      </c>
      <c r="D780" s="11" t="s">
        <v>2153</v>
      </c>
      <c r="E780" s="11"/>
      <c r="F780" s="11" t="s">
        <v>280</v>
      </c>
      <c r="G780" s="11" t="s">
        <v>261</v>
      </c>
      <c r="H780" s="11" t="s">
        <v>1852</v>
      </c>
    </row>
    <row r="781" spans="1:8" x14ac:dyDescent="0.25">
      <c r="A781" s="11" t="s">
        <v>299</v>
      </c>
      <c r="B781" s="11" t="s">
        <v>2137</v>
      </c>
      <c r="C781" s="11" t="s">
        <v>2154</v>
      </c>
      <c r="D781" s="11" t="s">
        <v>2155</v>
      </c>
      <c r="E781" s="11"/>
      <c r="F781" s="11" t="s">
        <v>280</v>
      </c>
      <c r="G781" s="11" t="s">
        <v>261</v>
      </c>
      <c r="H781" s="11" t="s">
        <v>1852</v>
      </c>
    </row>
    <row r="782" spans="1:8" x14ac:dyDescent="0.25">
      <c r="A782" s="11" t="s">
        <v>299</v>
      </c>
      <c r="B782" s="11" t="s">
        <v>2137</v>
      </c>
      <c r="C782" s="11" t="s">
        <v>2156</v>
      </c>
      <c r="D782" s="11" t="s">
        <v>2157</v>
      </c>
      <c r="E782" s="11"/>
      <c r="F782" s="11" t="s">
        <v>280</v>
      </c>
      <c r="G782" s="11" t="s">
        <v>261</v>
      </c>
      <c r="H782" s="11" t="s">
        <v>1852</v>
      </c>
    </row>
    <row r="783" spans="1:8" x14ac:dyDescent="0.25">
      <c r="A783" s="11" t="s">
        <v>299</v>
      </c>
      <c r="B783" s="11" t="s">
        <v>2137</v>
      </c>
      <c r="C783" s="11" t="s">
        <v>2158</v>
      </c>
      <c r="D783" s="11" t="s">
        <v>2159</v>
      </c>
      <c r="E783" s="11"/>
      <c r="F783" s="11" t="s">
        <v>280</v>
      </c>
      <c r="G783" s="11" t="s">
        <v>261</v>
      </c>
      <c r="H783" s="11" t="s">
        <v>1852</v>
      </c>
    </row>
    <row r="784" spans="1:8" x14ac:dyDescent="0.25">
      <c r="A784" s="11" t="s">
        <v>299</v>
      </c>
      <c r="B784" s="11" t="s">
        <v>2137</v>
      </c>
      <c r="C784" s="11" t="s">
        <v>2160</v>
      </c>
      <c r="D784" s="11" t="s">
        <v>2161</v>
      </c>
      <c r="E784" s="11"/>
      <c r="F784" s="11" t="s">
        <v>280</v>
      </c>
      <c r="G784" s="11" t="s">
        <v>261</v>
      </c>
      <c r="H784" s="11" t="s">
        <v>1852</v>
      </c>
    </row>
    <row r="785" spans="1:8" x14ac:dyDescent="0.25">
      <c r="A785" s="11" t="s">
        <v>299</v>
      </c>
      <c r="B785" s="11" t="s">
        <v>2137</v>
      </c>
      <c r="C785" s="11" t="s">
        <v>2162</v>
      </c>
      <c r="D785" s="11" t="s">
        <v>2163</v>
      </c>
      <c r="E785" s="11"/>
      <c r="F785" s="11" t="s">
        <v>280</v>
      </c>
      <c r="G785" s="11" t="s">
        <v>261</v>
      </c>
      <c r="H785" s="11" t="s">
        <v>1852</v>
      </c>
    </row>
    <row r="786" spans="1:8" x14ac:dyDescent="0.25">
      <c r="A786" s="11" t="s">
        <v>299</v>
      </c>
      <c r="B786" s="11" t="s">
        <v>2137</v>
      </c>
      <c r="C786" s="11" t="s">
        <v>2164</v>
      </c>
      <c r="D786" s="11" t="s">
        <v>2165</v>
      </c>
      <c r="E786" s="11"/>
      <c r="F786" s="11" t="s">
        <v>280</v>
      </c>
      <c r="G786" s="11" t="s">
        <v>261</v>
      </c>
      <c r="H786" s="11" t="s">
        <v>1852</v>
      </c>
    </row>
    <row r="787" spans="1:8" x14ac:dyDescent="0.25">
      <c r="A787" s="11" t="s">
        <v>299</v>
      </c>
      <c r="B787" s="11" t="s">
        <v>2137</v>
      </c>
      <c r="C787" s="11" t="s">
        <v>2166</v>
      </c>
      <c r="D787" s="11" t="s">
        <v>2167</v>
      </c>
      <c r="E787" s="11"/>
      <c r="F787" s="11" t="s">
        <v>280</v>
      </c>
      <c r="G787" s="11" t="s">
        <v>261</v>
      </c>
      <c r="H787" s="11" t="s">
        <v>1852</v>
      </c>
    </row>
    <row r="788" spans="1:8" x14ac:dyDescent="0.25">
      <c r="A788" s="11" t="s">
        <v>299</v>
      </c>
      <c r="B788" s="11" t="s">
        <v>2137</v>
      </c>
      <c r="C788" s="11" t="s">
        <v>2168</v>
      </c>
      <c r="D788" s="11" t="s">
        <v>2169</v>
      </c>
      <c r="E788" s="11"/>
      <c r="F788" s="11" t="s">
        <v>280</v>
      </c>
      <c r="G788" s="11" t="s">
        <v>261</v>
      </c>
      <c r="H788" s="11" t="s">
        <v>1852</v>
      </c>
    </row>
    <row r="789" spans="1:8" x14ac:dyDescent="0.25">
      <c r="A789" s="11" t="s">
        <v>299</v>
      </c>
      <c r="B789" s="11" t="s">
        <v>2137</v>
      </c>
      <c r="C789" s="11" t="s">
        <v>2170</v>
      </c>
      <c r="D789" s="11" t="s">
        <v>2171</v>
      </c>
      <c r="E789" s="11"/>
      <c r="F789" s="11" t="s">
        <v>280</v>
      </c>
      <c r="G789" s="11" t="s">
        <v>261</v>
      </c>
      <c r="H789" s="11" t="s">
        <v>1852</v>
      </c>
    </row>
    <row r="790" spans="1:8" x14ac:dyDescent="0.25">
      <c r="A790" s="11" t="s">
        <v>299</v>
      </c>
      <c r="B790" s="11" t="s">
        <v>2137</v>
      </c>
      <c r="C790" s="11" t="s">
        <v>2172</v>
      </c>
      <c r="D790" s="11" t="s">
        <v>2173</v>
      </c>
      <c r="E790" s="11"/>
      <c r="F790" s="11" t="s">
        <v>280</v>
      </c>
      <c r="G790" s="11" t="s">
        <v>261</v>
      </c>
      <c r="H790" s="11" t="s">
        <v>1852</v>
      </c>
    </row>
    <row r="791" spans="1:8" x14ac:dyDescent="0.25">
      <c r="A791" s="11" t="s">
        <v>299</v>
      </c>
      <c r="B791" s="11" t="s">
        <v>2137</v>
      </c>
      <c r="C791" s="11" t="s">
        <v>2174</v>
      </c>
      <c r="D791" s="11" t="s">
        <v>2175</v>
      </c>
      <c r="E791" s="11"/>
      <c r="F791" s="11" t="s">
        <v>280</v>
      </c>
      <c r="G791" s="11" t="s">
        <v>261</v>
      </c>
      <c r="H791" s="11" t="s">
        <v>1852</v>
      </c>
    </row>
    <row r="792" spans="1:8" x14ac:dyDescent="0.25">
      <c r="A792" s="11" t="s">
        <v>299</v>
      </c>
      <c r="B792" s="11" t="s">
        <v>2137</v>
      </c>
      <c r="C792" s="11" t="s">
        <v>2176</v>
      </c>
      <c r="D792" s="11" t="s">
        <v>2177</v>
      </c>
      <c r="E792" s="11"/>
      <c r="F792" s="11" t="s">
        <v>280</v>
      </c>
      <c r="G792" s="11" t="s">
        <v>261</v>
      </c>
      <c r="H792" s="11" t="s">
        <v>1852</v>
      </c>
    </row>
    <row r="793" spans="1:8" x14ac:dyDescent="0.25">
      <c r="A793" s="11" t="s">
        <v>299</v>
      </c>
      <c r="B793" s="11" t="s">
        <v>2137</v>
      </c>
      <c r="C793" s="11" t="s">
        <v>2178</v>
      </c>
      <c r="D793" s="11" t="s">
        <v>2179</v>
      </c>
      <c r="E793" s="11"/>
      <c r="F793" s="11" t="s">
        <v>280</v>
      </c>
      <c r="G793" s="11" t="s">
        <v>261</v>
      </c>
      <c r="H793" s="11" t="s">
        <v>1852</v>
      </c>
    </row>
    <row r="794" spans="1:8" x14ac:dyDescent="0.25">
      <c r="A794" s="11" t="s">
        <v>299</v>
      </c>
      <c r="B794" s="11" t="s">
        <v>2137</v>
      </c>
      <c r="C794" s="11" t="s">
        <v>2180</v>
      </c>
      <c r="D794" s="11" t="s">
        <v>2181</v>
      </c>
      <c r="E794" s="11"/>
      <c r="F794" s="11" t="s">
        <v>280</v>
      </c>
      <c r="G794" s="11" t="s">
        <v>261</v>
      </c>
      <c r="H794" s="11" t="s">
        <v>1852</v>
      </c>
    </row>
    <row r="795" spans="1:8" x14ac:dyDescent="0.25">
      <c r="A795" s="11" t="s">
        <v>299</v>
      </c>
      <c r="B795" s="11" t="s">
        <v>2137</v>
      </c>
      <c r="C795" s="11" t="s">
        <v>2182</v>
      </c>
      <c r="D795" s="11" t="s">
        <v>2183</v>
      </c>
      <c r="E795" s="11"/>
      <c r="F795" s="11" t="s">
        <v>280</v>
      </c>
      <c r="G795" s="11" t="s">
        <v>261</v>
      </c>
      <c r="H795" s="11" t="s">
        <v>1852</v>
      </c>
    </row>
    <row r="796" spans="1:8" x14ac:dyDescent="0.25">
      <c r="A796" s="11" t="s">
        <v>299</v>
      </c>
      <c r="B796" s="11" t="s">
        <v>2137</v>
      </c>
      <c r="C796" s="11" t="s">
        <v>2184</v>
      </c>
      <c r="D796" s="11" t="s">
        <v>2185</v>
      </c>
      <c r="E796" s="11"/>
      <c r="F796" s="11" t="s">
        <v>280</v>
      </c>
      <c r="G796" s="11" t="s">
        <v>261</v>
      </c>
      <c r="H796" s="11" t="s">
        <v>1852</v>
      </c>
    </row>
    <row r="797" spans="1:8" x14ac:dyDescent="0.25">
      <c r="A797" s="11" t="s">
        <v>299</v>
      </c>
      <c r="B797" s="11" t="s">
        <v>2137</v>
      </c>
      <c r="C797" s="11" t="s">
        <v>2186</v>
      </c>
      <c r="D797" s="11" t="s">
        <v>2187</v>
      </c>
      <c r="E797" s="11"/>
      <c r="F797" s="11" t="s">
        <v>280</v>
      </c>
      <c r="G797" s="11" t="s">
        <v>261</v>
      </c>
      <c r="H797" s="11" t="s">
        <v>1852</v>
      </c>
    </row>
    <row r="798" spans="1:8" x14ac:dyDescent="0.25">
      <c r="A798" s="11" t="s">
        <v>299</v>
      </c>
      <c r="B798" s="11" t="s">
        <v>2137</v>
      </c>
      <c r="C798" s="11" t="s">
        <v>2188</v>
      </c>
      <c r="D798" s="11" t="s">
        <v>2189</v>
      </c>
      <c r="E798" s="11"/>
      <c r="F798" s="11" t="s">
        <v>280</v>
      </c>
      <c r="G798" s="11" t="s">
        <v>261</v>
      </c>
      <c r="H798" s="11" t="s">
        <v>1852</v>
      </c>
    </row>
    <row r="799" spans="1:8" x14ac:dyDescent="0.25">
      <c r="A799" s="11" t="s">
        <v>299</v>
      </c>
      <c r="B799" s="11" t="s">
        <v>2137</v>
      </c>
      <c r="C799" s="11" t="s">
        <v>2190</v>
      </c>
      <c r="D799" s="11" t="s">
        <v>2191</v>
      </c>
      <c r="E799" s="11"/>
      <c r="F799" s="11" t="s">
        <v>280</v>
      </c>
      <c r="G799" s="11" t="s">
        <v>261</v>
      </c>
      <c r="H799" s="11" t="s">
        <v>1852</v>
      </c>
    </row>
    <row r="800" spans="1:8" x14ac:dyDescent="0.25">
      <c r="A800" s="11" t="s">
        <v>299</v>
      </c>
      <c r="B800" s="11" t="s">
        <v>2137</v>
      </c>
      <c r="C800" s="11" t="s">
        <v>2192</v>
      </c>
      <c r="D800" s="11" t="s">
        <v>2193</v>
      </c>
      <c r="E800" s="11"/>
      <c r="F800" s="11" t="s">
        <v>280</v>
      </c>
      <c r="G800" s="11" t="s">
        <v>261</v>
      </c>
      <c r="H800" s="11" t="s">
        <v>1852</v>
      </c>
    </row>
    <row r="801" spans="1:8" x14ac:dyDescent="0.25">
      <c r="A801" s="11" t="s">
        <v>299</v>
      </c>
      <c r="B801" s="11" t="s">
        <v>2137</v>
      </c>
      <c r="C801" s="11" t="s">
        <v>2194</v>
      </c>
      <c r="D801" s="11" t="s">
        <v>2195</v>
      </c>
      <c r="E801" s="11"/>
      <c r="F801" s="11" t="s">
        <v>280</v>
      </c>
      <c r="G801" s="11" t="s">
        <v>261</v>
      </c>
      <c r="H801" s="11" t="s">
        <v>1852</v>
      </c>
    </row>
    <row r="802" spans="1:8" x14ac:dyDescent="0.25">
      <c r="A802" s="11" t="s">
        <v>299</v>
      </c>
      <c r="B802" s="11" t="s">
        <v>2137</v>
      </c>
      <c r="C802" s="11" t="s">
        <v>2196</v>
      </c>
      <c r="D802" s="11" t="s">
        <v>2197</v>
      </c>
      <c r="E802" s="11"/>
      <c r="F802" s="11" t="s">
        <v>280</v>
      </c>
      <c r="G802" s="11" t="s">
        <v>261</v>
      </c>
      <c r="H802" s="11" t="s">
        <v>1852</v>
      </c>
    </row>
    <row r="803" spans="1:8" x14ac:dyDescent="0.25">
      <c r="A803" s="11" t="s">
        <v>299</v>
      </c>
      <c r="B803" s="11" t="s">
        <v>2137</v>
      </c>
      <c r="C803" s="11" t="s">
        <v>2198</v>
      </c>
      <c r="D803" s="11" t="s">
        <v>2199</v>
      </c>
      <c r="E803" s="11"/>
      <c r="F803" s="11" t="s">
        <v>280</v>
      </c>
      <c r="G803" s="11" t="s">
        <v>261</v>
      </c>
      <c r="H803" s="11" t="s">
        <v>1852</v>
      </c>
    </row>
    <row r="804" spans="1:8" x14ac:dyDescent="0.25">
      <c r="A804" s="11" t="s">
        <v>299</v>
      </c>
      <c r="B804" s="11" t="s">
        <v>2137</v>
      </c>
      <c r="C804" s="11" t="s">
        <v>2200</v>
      </c>
      <c r="D804" s="11" t="s">
        <v>2201</v>
      </c>
      <c r="E804" s="11"/>
      <c r="F804" s="11" t="s">
        <v>280</v>
      </c>
      <c r="G804" s="11" t="s">
        <v>261</v>
      </c>
      <c r="H804" s="11" t="s">
        <v>1852</v>
      </c>
    </row>
    <row r="805" spans="1:8" x14ac:dyDescent="0.25">
      <c r="A805" s="11" t="s">
        <v>299</v>
      </c>
      <c r="B805" s="11" t="s">
        <v>2137</v>
      </c>
      <c r="C805" s="11" t="s">
        <v>2202</v>
      </c>
      <c r="D805" s="11" t="s">
        <v>2203</v>
      </c>
      <c r="E805" s="11"/>
      <c r="F805" s="11" t="s">
        <v>280</v>
      </c>
      <c r="G805" s="11" t="s">
        <v>261</v>
      </c>
      <c r="H805" s="11" t="s">
        <v>1852</v>
      </c>
    </row>
    <row r="806" spans="1:8" x14ac:dyDescent="0.25">
      <c r="A806" s="11" t="s">
        <v>299</v>
      </c>
      <c r="B806" s="11" t="s">
        <v>2137</v>
      </c>
      <c r="C806" s="11" t="s">
        <v>2204</v>
      </c>
      <c r="D806" s="11" t="s">
        <v>2205</v>
      </c>
      <c r="E806" s="11"/>
      <c r="F806" s="11" t="s">
        <v>280</v>
      </c>
      <c r="G806" s="11" t="s">
        <v>261</v>
      </c>
      <c r="H806" s="11" t="s">
        <v>1852</v>
      </c>
    </row>
    <row r="807" spans="1:8" x14ac:dyDescent="0.25">
      <c r="A807" s="11" t="s">
        <v>299</v>
      </c>
      <c r="B807" s="11" t="s">
        <v>2137</v>
      </c>
      <c r="C807" s="11" t="s">
        <v>2206</v>
      </c>
      <c r="D807" s="11" t="s">
        <v>2207</v>
      </c>
      <c r="E807" s="11"/>
      <c r="F807" s="11" t="s">
        <v>280</v>
      </c>
      <c r="G807" s="11" t="s">
        <v>261</v>
      </c>
      <c r="H807" s="11" t="s">
        <v>1852</v>
      </c>
    </row>
    <row r="808" spans="1:8" x14ac:dyDescent="0.25">
      <c r="A808" s="11" t="s">
        <v>299</v>
      </c>
      <c r="B808" s="11" t="s">
        <v>2137</v>
      </c>
      <c r="C808" s="11" t="s">
        <v>2208</v>
      </c>
      <c r="D808" s="11" t="s">
        <v>2209</v>
      </c>
      <c r="E808" s="11"/>
      <c r="F808" s="11" t="s">
        <v>280</v>
      </c>
      <c r="G808" s="11" t="s">
        <v>261</v>
      </c>
      <c r="H808" s="11" t="s">
        <v>1852</v>
      </c>
    </row>
    <row r="809" spans="1:8" x14ac:dyDescent="0.25">
      <c r="A809" s="11" t="s">
        <v>299</v>
      </c>
      <c r="B809" s="11" t="s">
        <v>2137</v>
      </c>
      <c r="C809" s="11" t="s">
        <v>2210</v>
      </c>
      <c r="D809" s="11" t="s">
        <v>2211</v>
      </c>
      <c r="E809" s="11"/>
      <c r="F809" s="11" t="s">
        <v>280</v>
      </c>
      <c r="G809" s="11" t="s">
        <v>261</v>
      </c>
      <c r="H809" s="11" t="s">
        <v>1852</v>
      </c>
    </row>
    <row r="810" spans="1:8" x14ac:dyDescent="0.25">
      <c r="A810" s="11" t="s">
        <v>299</v>
      </c>
      <c r="B810" s="11" t="s">
        <v>2137</v>
      </c>
      <c r="C810" s="11" t="s">
        <v>2212</v>
      </c>
      <c r="D810" s="11" t="s">
        <v>2213</v>
      </c>
      <c r="E810" s="11"/>
      <c r="F810" s="11" t="s">
        <v>280</v>
      </c>
      <c r="G810" s="11" t="s">
        <v>261</v>
      </c>
      <c r="H810" s="11" t="s">
        <v>1852</v>
      </c>
    </row>
    <row r="811" spans="1:8" x14ac:dyDescent="0.25">
      <c r="A811" s="11" t="s">
        <v>299</v>
      </c>
      <c r="B811" s="11" t="s">
        <v>2137</v>
      </c>
      <c r="C811" s="11" t="s">
        <v>2214</v>
      </c>
      <c r="D811" s="11" t="s">
        <v>2215</v>
      </c>
      <c r="E811" s="11"/>
      <c r="F811" s="11" t="s">
        <v>280</v>
      </c>
      <c r="G811" s="11" t="s">
        <v>261</v>
      </c>
      <c r="H811" s="11" t="s">
        <v>1852</v>
      </c>
    </row>
    <row r="812" spans="1:8" x14ac:dyDescent="0.25">
      <c r="A812" s="11" t="s">
        <v>299</v>
      </c>
      <c r="B812" s="11" t="s">
        <v>2137</v>
      </c>
      <c r="C812" s="11" t="s">
        <v>2216</v>
      </c>
      <c r="D812" s="11" t="s">
        <v>2217</v>
      </c>
      <c r="E812" s="11"/>
      <c r="F812" s="11" t="s">
        <v>280</v>
      </c>
      <c r="G812" s="11" t="s">
        <v>261</v>
      </c>
      <c r="H812" s="11" t="s">
        <v>1852</v>
      </c>
    </row>
    <row r="813" spans="1:8" x14ac:dyDescent="0.25">
      <c r="A813" s="11" t="s">
        <v>299</v>
      </c>
      <c r="B813" s="11" t="s">
        <v>2137</v>
      </c>
      <c r="C813" s="11" t="s">
        <v>2218</v>
      </c>
      <c r="D813" s="11" t="s">
        <v>2219</v>
      </c>
      <c r="E813" s="11"/>
      <c r="F813" s="11" t="s">
        <v>280</v>
      </c>
      <c r="G813" s="11" t="s">
        <v>261</v>
      </c>
      <c r="H813" s="11" t="s">
        <v>1852</v>
      </c>
    </row>
    <row r="814" spans="1:8" x14ac:dyDescent="0.25">
      <c r="A814" s="11" t="s">
        <v>299</v>
      </c>
      <c r="B814" s="11" t="s">
        <v>2137</v>
      </c>
      <c r="C814" s="11" t="s">
        <v>2220</v>
      </c>
      <c r="D814" s="11" t="s">
        <v>2221</v>
      </c>
      <c r="E814" s="11"/>
      <c r="F814" s="11" t="s">
        <v>280</v>
      </c>
      <c r="G814" s="11" t="s">
        <v>261</v>
      </c>
      <c r="H814" s="11" t="s">
        <v>1852</v>
      </c>
    </row>
    <row r="815" spans="1:8" x14ac:dyDescent="0.25">
      <c r="A815" s="11" t="s">
        <v>299</v>
      </c>
      <c r="B815" s="11" t="s">
        <v>2137</v>
      </c>
      <c r="C815" s="11" t="s">
        <v>2222</v>
      </c>
      <c r="D815" s="11" t="s">
        <v>2223</v>
      </c>
      <c r="E815" s="11"/>
      <c r="F815" s="11" t="s">
        <v>280</v>
      </c>
      <c r="G815" s="11" t="s">
        <v>261</v>
      </c>
      <c r="H815" s="11" t="s">
        <v>1852</v>
      </c>
    </row>
    <row r="816" spans="1:8" x14ac:dyDescent="0.25">
      <c r="A816" s="11" t="s">
        <v>299</v>
      </c>
      <c r="B816" s="11" t="s">
        <v>2137</v>
      </c>
      <c r="C816" s="11" t="s">
        <v>2224</v>
      </c>
      <c r="D816" s="11" t="s">
        <v>2225</v>
      </c>
      <c r="E816" s="11"/>
      <c r="F816" s="11" t="s">
        <v>280</v>
      </c>
      <c r="G816" s="11" t="s">
        <v>261</v>
      </c>
      <c r="H816" s="11" t="s">
        <v>1852</v>
      </c>
    </row>
    <row r="817" spans="1:8" x14ac:dyDescent="0.25">
      <c r="A817" s="11" t="s">
        <v>299</v>
      </c>
      <c r="B817" s="11" t="s">
        <v>2137</v>
      </c>
      <c r="C817" s="11" t="s">
        <v>2226</v>
      </c>
      <c r="D817" s="11" t="s">
        <v>2227</v>
      </c>
      <c r="E817" s="11"/>
      <c r="F817" s="11" t="s">
        <v>280</v>
      </c>
      <c r="G817" s="11" t="s">
        <v>261</v>
      </c>
      <c r="H817" s="11" t="s">
        <v>1852</v>
      </c>
    </row>
    <row r="818" spans="1:8" x14ac:dyDescent="0.25">
      <c r="A818" s="11" t="s">
        <v>299</v>
      </c>
      <c r="B818" s="11" t="s">
        <v>2137</v>
      </c>
      <c r="C818" s="11" t="s">
        <v>2228</v>
      </c>
      <c r="D818" s="11" t="s">
        <v>2229</v>
      </c>
      <c r="E818" s="11"/>
      <c r="F818" s="11" t="s">
        <v>280</v>
      </c>
      <c r="G818" s="11" t="s">
        <v>261</v>
      </c>
      <c r="H818" s="11" t="s">
        <v>1852</v>
      </c>
    </row>
    <row r="819" spans="1:8" x14ac:dyDescent="0.25">
      <c r="A819" s="11" t="s">
        <v>299</v>
      </c>
      <c r="B819" s="11" t="s">
        <v>2137</v>
      </c>
      <c r="C819" s="11" t="s">
        <v>2230</v>
      </c>
      <c r="D819" s="11" t="s">
        <v>2231</v>
      </c>
      <c r="E819" s="11"/>
      <c r="F819" s="11" t="s">
        <v>280</v>
      </c>
      <c r="G819" s="11" t="s">
        <v>261</v>
      </c>
      <c r="H819" s="11" t="s">
        <v>1852</v>
      </c>
    </row>
    <row r="820" spans="1:8" x14ac:dyDescent="0.25">
      <c r="A820" s="11" t="s">
        <v>299</v>
      </c>
      <c r="B820" s="11" t="s">
        <v>2137</v>
      </c>
      <c r="C820" s="11" t="s">
        <v>2232</v>
      </c>
      <c r="D820" s="11" t="s">
        <v>2233</v>
      </c>
      <c r="E820" s="11"/>
      <c r="F820" s="11" t="s">
        <v>280</v>
      </c>
      <c r="G820" s="11" t="s">
        <v>261</v>
      </c>
      <c r="H820" s="11" t="s">
        <v>1852</v>
      </c>
    </row>
    <row r="821" spans="1:8" x14ac:dyDescent="0.25">
      <c r="A821" s="11" t="s">
        <v>299</v>
      </c>
      <c r="B821" s="11" t="s">
        <v>2137</v>
      </c>
      <c r="C821" s="11" t="s">
        <v>2234</v>
      </c>
      <c r="D821" s="11" t="s">
        <v>2235</v>
      </c>
      <c r="E821" s="11"/>
      <c r="F821" s="11" t="s">
        <v>280</v>
      </c>
      <c r="G821" s="11" t="s">
        <v>261</v>
      </c>
      <c r="H821" s="11" t="s">
        <v>1852</v>
      </c>
    </row>
    <row r="822" spans="1:8" x14ac:dyDescent="0.25">
      <c r="A822" s="11" t="s">
        <v>299</v>
      </c>
      <c r="B822" s="11" t="s">
        <v>2137</v>
      </c>
      <c r="C822" s="11" t="s">
        <v>2236</v>
      </c>
      <c r="D822" s="11" t="s">
        <v>2237</v>
      </c>
      <c r="E822" s="11"/>
      <c r="F822" s="11" t="s">
        <v>280</v>
      </c>
      <c r="G822" s="11" t="s">
        <v>261</v>
      </c>
      <c r="H822" s="11" t="s">
        <v>1852</v>
      </c>
    </row>
    <row r="823" spans="1:8" x14ac:dyDescent="0.25">
      <c r="A823" s="11" t="s">
        <v>299</v>
      </c>
      <c r="B823" s="11" t="s">
        <v>2137</v>
      </c>
      <c r="C823" s="11" t="s">
        <v>2238</v>
      </c>
      <c r="D823" s="11" t="s">
        <v>2239</v>
      </c>
      <c r="E823" s="11"/>
      <c r="F823" s="11" t="s">
        <v>280</v>
      </c>
      <c r="G823" s="11" t="s">
        <v>261</v>
      </c>
      <c r="H823" s="11" t="s">
        <v>1852</v>
      </c>
    </row>
    <row r="824" spans="1:8" x14ac:dyDescent="0.25">
      <c r="A824" s="11" t="s">
        <v>299</v>
      </c>
      <c r="B824" s="11" t="s">
        <v>2137</v>
      </c>
      <c r="C824" s="11" t="s">
        <v>2240</v>
      </c>
      <c r="D824" s="11" t="s">
        <v>2241</v>
      </c>
      <c r="E824" s="11"/>
      <c r="F824" s="11" t="s">
        <v>280</v>
      </c>
      <c r="G824" s="11" t="s">
        <v>261</v>
      </c>
      <c r="H824" s="11" t="s">
        <v>1852</v>
      </c>
    </row>
    <row r="825" spans="1:8" x14ac:dyDescent="0.25">
      <c r="A825" s="11" t="s">
        <v>299</v>
      </c>
      <c r="B825" s="11" t="s">
        <v>2137</v>
      </c>
      <c r="C825" s="11" t="s">
        <v>2242</v>
      </c>
      <c r="D825" s="11" t="s">
        <v>2243</v>
      </c>
      <c r="E825" s="11"/>
      <c r="F825" s="11" t="s">
        <v>280</v>
      </c>
      <c r="G825" s="11" t="s">
        <v>261</v>
      </c>
      <c r="H825" s="11" t="s">
        <v>1852</v>
      </c>
    </row>
    <row r="826" spans="1:8" x14ac:dyDescent="0.25">
      <c r="A826" s="11" t="s">
        <v>299</v>
      </c>
      <c r="B826" s="11" t="s">
        <v>2137</v>
      </c>
      <c r="C826" s="11" t="s">
        <v>2244</v>
      </c>
      <c r="D826" s="11" t="s">
        <v>2245</v>
      </c>
      <c r="E826" s="11"/>
      <c r="F826" s="11" t="s">
        <v>280</v>
      </c>
      <c r="G826" s="11" t="s">
        <v>261</v>
      </c>
      <c r="H826" s="11" t="s">
        <v>1852</v>
      </c>
    </row>
    <row r="827" spans="1:8" x14ac:dyDescent="0.25">
      <c r="A827" s="11" t="s">
        <v>299</v>
      </c>
      <c r="B827" s="11" t="s">
        <v>2137</v>
      </c>
      <c r="C827" s="11" t="s">
        <v>2246</v>
      </c>
      <c r="D827" s="11" t="s">
        <v>2247</v>
      </c>
      <c r="E827" s="11"/>
      <c r="F827" s="11" t="s">
        <v>280</v>
      </c>
      <c r="G827" s="11" t="s">
        <v>261</v>
      </c>
      <c r="H827" s="11" t="s">
        <v>1852</v>
      </c>
    </row>
    <row r="828" spans="1:8" x14ac:dyDescent="0.25">
      <c r="A828" s="11" t="s">
        <v>299</v>
      </c>
      <c r="B828" s="11" t="s">
        <v>2137</v>
      </c>
      <c r="C828" s="11" t="s">
        <v>2248</v>
      </c>
      <c r="D828" s="11" t="s">
        <v>2249</v>
      </c>
      <c r="E828" s="11"/>
      <c r="F828" s="11" t="s">
        <v>280</v>
      </c>
      <c r="G828" s="11" t="s">
        <v>261</v>
      </c>
      <c r="H828" s="11" t="s">
        <v>1852</v>
      </c>
    </row>
    <row r="829" spans="1:8" x14ac:dyDescent="0.25">
      <c r="A829" s="11" t="s">
        <v>299</v>
      </c>
      <c r="B829" s="11" t="s">
        <v>2137</v>
      </c>
      <c r="C829" s="11" t="s">
        <v>2250</v>
      </c>
      <c r="D829" s="11" t="s">
        <v>2251</v>
      </c>
      <c r="E829" s="11"/>
      <c r="F829" s="11" t="s">
        <v>280</v>
      </c>
      <c r="G829" s="11" t="s">
        <v>261</v>
      </c>
      <c r="H829" s="11" t="s">
        <v>1852</v>
      </c>
    </row>
    <row r="830" spans="1:8" x14ac:dyDescent="0.25">
      <c r="A830" s="11" t="s">
        <v>299</v>
      </c>
      <c r="B830" s="11" t="s">
        <v>2137</v>
      </c>
      <c r="C830" s="11" t="s">
        <v>2252</v>
      </c>
      <c r="D830" s="11" t="s">
        <v>2253</v>
      </c>
      <c r="E830" s="11"/>
      <c r="F830" s="11" t="s">
        <v>280</v>
      </c>
      <c r="G830" s="11" t="s">
        <v>261</v>
      </c>
      <c r="H830" s="11" t="s">
        <v>1852</v>
      </c>
    </row>
    <row r="831" spans="1:8" x14ac:dyDescent="0.25">
      <c r="A831" s="11" t="s">
        <v>299</v>
      </c>
      <c r="B831" s="11" t="s">
        <v>2137</v>
      </c>
      <c r="C831" s="11" t="s">
        <v>2254</v>
      </c>
      <c r="D831" s="11" t="s">
        <v>2255</v>
      </c>
      <c r="E831" s="11"/>
      <c r="F831" s="11" t="s">
        <v>280</v>
      </c>
      <c r="G831" s="11" t="s">
        <v>261</v>
      </c>
      <c r="H831" s="11" t="s">
        <v>1852</v>
      </c>
    </row>
    <row r="832" spans="1:8" x14ac:dyDescent="0.25">
      <c r="A832" s="11" t="s">
        <v>299</v>
      </c>
      <c r="B832" s="11" t="s">
        <v>2137</v>
      </c>
      <c r="C832" s="11" t="s">
        <v>2256</v>
      </c>
      <c r="D832" s="11" t="s">
        <v>2257</v>
      </c>
      <c r="E832" s="11"/>
      <c r="F832" s="11" t="s">
        <v>280</v>
      </c>
      <c r="G832" s="11" t="s">
        <v>261</v>
      </c>
      <c r="H832" s="11" t="s">
        <v>1852</v>
      </c>
    </row>
    <row r="833" spans="1:8" x14ac:dyDescent="0.25">
      <c r="A833" s="11" t="s">
        <v>299</v>
      </c>
      <c r="B833" s="11" t="s">
        <v>2137</v>
      </c>
      <c r="C833" s="11" t="s">
        <v>2258</v>
      </c>
      <c r="D833" s="11" t="s">
        <v>2259</v>
      </c>
      <c r="E833" s="11"/>
      <c r="F833" s="11" t="s">
        <v>280</v>
      </c>
      <c r="G833" s="11" t="s">
        <v>261</v>
      </c>
      <c r="H833" s="11" t="s">
        <v>1852</v>
      </c>
    </row>
    <row r="834" spans="1:8" x14ac:dyDescent="0.25">
      <c r="A834" s="11" t="s">
        <v>299</v>
      </c>
      <c r="B834" s="11" t="s">
        <v>2137</v>
      </c>
      <c r="C834" s="11" t="s">
        <v>2260</v>
      </c>
      <c r="D834" s="11" t="s">
        <v>2261</v>
      </c>
      <c r="E834" s="11"/>
      <c r="F834" s="11" t="s">
        <v>280</v>
      </c>
      <c r="G834" s="11" t="s">
        <v>261</v>
      </c>
      <c r="H834" s="11" t="s">
        <v>1852</v>
      </c>
    </row>
    <row r="835" spans="1:8" x14ac:dyDescent="0.25">
      <c r="A835" s="11" t="s">
        <v>299</v>
      </c>
      <c r="B835" s="11" t="s">
        <v>2137</v>
      </c>
      <c r="C835" s="11" t="s">
        <v>2262</v>
      </c>
      <c r="D835" s="11" t="s">
        <v>2263</v>
      </c>
      <c r="E835" s="11"/>
      <c r="F835" s="11" t="s">
        <v>280</v>
      </c>
      <c r="G835" s="11" t="s">
        <v>261</v>
      </c>
      <c r="H835" s="11" t="s">
        <v>1852</v>
      </c>
    </row>
    <row r="836" spans="1:8" x14ac:dyDescent="0.25">
      <c r="A836" s="11" t="s">
        <v>299</v>
      </c>
      <c r="B836" s="11" t="s">
        <v>2137</v>
      </c>
      <c r="C836" s="11" t="s">
        <v>2264</v>
      </c>
      <c r="D836" s="11" t="s">
        <v>2265</v>
      </c>
      <c r="E836" s="11"/>
      <c r="F836" s="11" t="s">
        <v>280</v>
      </c>
      <c r="G836" s="11" t="s">
        <v>261</v>
      </c>
      <c r="H836" s="11" t="s">
        <v>1852</v>
      </c>
    </row>
    <row r="837" spans="1:8" x14ac:dyDescent="0.25">
      <c r="A837" s="11" t="s">
        <v>299</v>
      </c>
      <c r="B837" s="11" t="s">
        <v>2137</v>
      </c>
      <c r="C837" s="11" t="s">
        <v>2266</v>
      </c>
      <c r="D837" s="11" t="s">
        <v>2267</v>
      </c>
      <c r="E837" s="11"/>
      <c r="F837" s="11" t="s">
        <v>280</v>
      </c>
      <c r="G837" s="11" t="s">
        <v>261</v>
      </c>
      <c r="H837" s="11" t="s">
        <v>1852</v>
      </c>
    </row>
    <row r="838" spans="1:8" x14ac:dyDescent="0.25">
      <c r="A838" s="11" t="s">
        <v>299</v>
      </c>
      <c r="B838" s="11" t="s">
        <v>2137</v>
      </c>
      <c r="C838" s="11" t="s">
        <v>2268</v>
      </c>
      <c r="D838" s="11" t="s">
        <v>2269</v>
      </c>
      <c r="E838" s="11"/>
      <c r="F838" s="11" t="s">
        <v>280</v>
      </c>
      <c r="G838" s="11" t="s">
        <v>261</v>
      </c>
      <c r="H838" s="11" t="s">
        <v>1852</v>
      </c>
    </row>
    <row r="839" spans="1:8" x14ac:dyDescent="0.25">
      <c r="A839" s="11" t="s">
        <v>299</v>
      </c>
      <c r="B839" s="11" t="s">
        <v>2137</v>
      </c>
      <c r="C839" s="11" t="s">
        <v>2270</v>
      </c>
      <c r="D839" s="11" t="s">
        <v>2271</v>
      </c>
      <c r="E839" s="11"/>
      <c r="F839" s="11" t="s">
        <v>280</v>
      </c>
      <c r="G839" s="11" t="s">
        <v>261</v>
      </c>
      <c r="H839" s="11" t="s">
        <v>1852</v>
      </c>
    </row>
    <row r="840" spans="1:8" x14ac:dyDescent="0.25">
      <c r="A840" s="11" t="s">
        <v>299</v>
      </c>
      <c r="B840" s="11" t="s">
        <v>2137</v>
      </c>
      <c r="C840" s="11" t="s">
        <v>2272</v>
      </c>
      <c r="D840" s="11" t="s">
        <v>2273</v>
      </c>
      <c r="E840" s="11"/>
      <c r="F840" s="11" t="s">
        <v>280</v>
      </c>
      <c r="G840" s="11" t="s">
        <v>261</v>
      </c>
      <c r="H840" s="11" t="s">
        <v>1852</v>
      </c>
    </row>
    <row r="841" spans="1:8" x14ac:dyDescent="0.25">
      <c r="A841" s="11" t="s">
        <v>299</v>
      </c>
      <c r="B841" s="11" t="s">
        <v>2137</v>
      </c>
      <c r="C841" s="11" t="s">
        <v>2274</v>
      </c>
      <c r="D841" s="11" t="s">
        <v>2275</v>
      </c>
      <c r="E841" s="11"/>
      <c r="F841" s="11" t="s">
        <v>280</v>
      </c>
      <c r="G841" s="11" t="s">
        <v>261</v>
      </c>
      <c r="H841" s="11" t="s">
        <v>1852</v>
      </c>
    </row>
    <row r="842" spans="1:8" x14ac:dyDescent="0.25">
      <c r="A842" s="11" t="s">
        <v>299</v>
      </c>
      <c r="B842" s="11" t="s">
        <v>2137</v>
      </c>
      <c r="C842" s="11" t="s">
        <v>2276</v>
      </c>
      <c r="D842" s="11" t="s">
        <v>2277</v>
      </c>
      <c r="E842" s="11"/>
      <c r="F842" s="11" t="s">
        <v>280</v>
      </c>
      <c r="G842" s="11" t="s">
        <v>261</v>
      </c>
      <c r="H842" s="11" t="s">
        <v>1852</v>
      </c>
    </row>
    <row r="843" spans="1:8" x14ac:dyDescent="0.25">
      <c r="A843" s="11" t="s">
        <v>299</v>
      </c>
      <c r="B843" s="11" t="s">
        <v>2137</v>
      </c>
      <c r="C843" s="11" t="s">
        <v>2278</v>
      </c>
      <c r="D843" s="11" t="s">
        <v>2279</v>
      </c>
      <c r="E843" s="11"/>
      <c r="F843" s="11" t="s">
        <v>280</v>
      </c>
      <c r="G843" s="11" t="s">
        <v>261</v>
      </c>
      <c r="H843" s="11" t="s">
        <v>1852</v>
      </c>
    </row>
    <row r="844" spans="1:8" x14ac:dyDescent="0.25">
      <c r="A844" s="11" t="s">
        <v>299</v>
      </c>
      <c r="B844" s="11" t="s">
        <v>2137</v>
      </c>
      <c r="C844" s="11" t="s">
        <v>2280</v>
      </c>
      <c r="D844" s="11" t="s">
        <v>2281</v>
      </c>
      <c r="E844" s="11"/>
      <c r="F844" s="11" t="s">
        <v>280</v>
      </c>
      <c r="G844" s="11" t="s">
        <v>261</v>
      </c>
      <c r="H844" s="11" t="s">
        <v>1852</v>
      </c>
    </row>
    <row r="845" spans="1:8" x14ac:dyDescent="0.25">
      <c r="A845" s="11" t="s">
        <v>299</v>
      </c>
      <c r="B845" s="11" t="s">
        <v>2137</v>
      </c>
      <c r="C845" s="11" t="s">
        <v>2282</v>
      </c>
      <c r="D845" s="11" t="s">
        <v>2283</v>
      </c>
      <c r="E845" s="11"/>
      <c r="F845" s="11" t="s">
        <v>280</v>
      </c>
      <c r="G845" s="11" t="s">
        <v>261</v>
      </c>
      <c r="H845" s="11" t="s">
        <v>1852</v>
      </c>
    </row>
    <row r="846" spans="1:8" x14ac:dyDescent="0.25">
      <c r="A846" s="11" t="s">
        <v>299</v>
      </c>
      <c r="B846" s="11" t="s">
        <v>2137</v>
      </c>
      <c r="C846" s="11" t="s">
        <v>2284</v>
      </c>
      <c r="D846" s="11" t="s">
        <v>2285</v>
      </c>
      <c r="E846" s="11"/>
      <c r="F846" s="11" t="s">
        <v>280</v>
      </c>
      <c r="G846" s="11" t="s">
        <v>261</v>
      </c>
      <c r="H846" s="11" t="s">
        <v>1852</v>
      </c>
    </row>
    <row r="847" spans="1:8" x14ac:dyDescent="0.25">
      <c r="A847" s="11" t="s">
        <v>299</v>
      </c>
      <c r="B847" s="11" t="s">
        <v>2137</v>
      </c>
      <c r="C847" s="11" t="s">
        <v>2286</v>
      </c>
      <c r="D847" s="11" t="s">
        <v>2287</v>
      </c>
      <c r="E847" s="11"/>
      <c r="F847" s="11" t="s">
        <v>280</v>
      </c>
      <c r="G847" s="11" t="s">
        <v>261</v>
      </c>
      <c r="H847" s="11" t="s">
        <v>1852</v>
      </c>
    </row>
    <row r="848" spans="1:8" x14ac:dyDescent="0.25">
      <c r="A848" s="11" t="s">
        <v>299</v>
      </c>
      <c r="B848" s="11" t="s">
        <v>2137</v>
      </c>
      <c r="C848" s="11" t="s">
        <v>2288</v>
      </c>
      <c r="D848" s="11" t="s">
        <v>2289</v>
      </c>
      <c r="E848" s="11"/>
      <c r="F848" s="11" t="s">
        <v>280</v>
      </c>
      <c r="G848" s="11" t="s">
        <v>261</v>
      </c>
      <c r="H848" s="11" t="s">
        <v>1852</v>
      </c>
    </row>
    <row r="849" spans="1:8" x14ac:dyDescent="0.25">
      <c r="A849" s="11" t="s">
        <v>299</v>
      </c>
      <c r="B849" s="11" t="s">
        <v>2137</v>
      </c>
      <c r="C849" s="11" t="s">
        <v>2290</v>
      </c>
      <c r="D849" s="11" t="s">
        <v>2291</v>
      </c>
      <c r="E849" s="11"/>
      <c r="F849" s="11" t="s">
        <v>280</v>
      </c>
      <c r="G849" s="11" t="s">
        <v>261</v>
      </c>
      <c r="H849" s="11" t="s">
        <v>1852</v>
      </c>
    </row>
    <row r="850" spans="1:8" x14ac:dyDescent="0.25">
      <c r="A850" s="11" t="s">
        <v>299</v>
      </c>
      <c r="B850" s="11" t="s">
        <v>2137</v>
      </c>
      <c r="C850" s="11" t="s">
        <v>2292</v>
      </c>
      <c r="D850" s="11" t="s">
        <v>2293</v>
      </c>
      <c r="E850" s="11"/>
      <c r="F850" s="11" t="s">
        <v>280</v>
      </c>
      <c r="G850" s="11" t="s">
        <v>261</v>
      </c>
      <c r="H850" s="11" t="s">
        <v>1852</v>
      </c>
    </row>
    <row r="851" spans="1:8" x14ac:dyDescent="0.25">
      <c r="A851" s="11" t="s">
        <v>299</v>
      </c>
      <c r="B851" s="11" t="s">
        <v>2137</v>
      </c>
      <c r="C851" s="11" t="s">
        <v>2294</v>
      </c>
      <c r="D851" s="11" t="s">
        <v>2295</v>
      </c>
      <c r="E851" s="11"/>
      <c r="F851" s="11" t="s">
        <v>280</v>
      </c>
      <c r="G851" s="11" t="s">
        <v>261</v>
      </c>
      <c r="H851" s="11" t="s">
        <v>1852</v>
      </c>
    </row>
    <row r="852" spans="1:8" x14ac:dyDescent="0.25">
      <c r="A852" s="11" t="s">
        <v>299</v>
      </c>
      <c r="B852" s="11" t="s">
        <v>2137</v>
      </c>
      <c r="C852" s="11" t="s">
        <v>2296</v>
      </c>
      <c r="D852" s="11" t="s">
        <v>2297</v>
      </c>
      <c r="E852" s="11"/>
      <c r="F852" s="11" t="s">
        <v>280</v>
      </c>
      <c r="G852" s="11" t="s">
        <v>261</v>
      </c>
      <c r="H852" s="11" t="s">
        <v>1852</v>
      </c>
    </row>
    <row r="853" spans="1:8" x14ac:dyDescent="0.25">
      <c r="A853" s="11" t="s">
        <v>299</v>
      </c>
      <c r="B853" s="11" t="s">
        <v>2137</v>
      </c>
      <c r="C853" s="11" t="s">
        <v>2298</v>
      </c>
      <c r="D853" s="11" t="s">
        <v>2299</v>
      </c>
      <c r="E853" s="11"/>
      <c r="F853" s="11" t="s">
        <v>280</v>
      </c>
      <c r="G853" s="11" t="s">
        <v>261</v>
      </c>
      <c r="H853" s="11" t="s">
        <v>1852</v>
      </c>
    </row>
    <row r="854" spans="1:8" x14ac:dyDescent="0.25">
      <c r="A854" s="11" t="s">
        <v>299</v>
      </c>
      <c r="B854" s="11" t="s">
        <v>2137</v>
      </c>
      <c r="C854" s="11" t="s">
        <v>2300</v>
      </c>
      <c r="D854" s="11" t="s">
        <v>2301</v>
      </c>
      <c r="E854" s="11"/>
      <c r="F854" s="11" t="s">
        <v>280</v>
      </c>
      <c r="G854" s="11" t="s">
        <v>261</v>
      </c>
      <c r="H854" s="11" t="s">
        <v>1852</v>
      </c>
    </row>
    <row r="855" spans="1:8" x14ac:dyDescent="0.25">
      <c r="A855" s="11" t="s">
        <v>299</v>
      </c>
      <c r="B855" s="11" t="s">
        <v>2137</v>
      </c>
      <c r="C855" s="11" t="s">
        <v>2302</v>
      </c>
      <c r="D855" s="11" t="s">
        <v>2303</v>
      </c>
      <c r="E855" s="11"/>
      <c r="F855" s="11" t="s">
        <v>280</v>
      </c>
      <c r="G855" s="11" t="s">
        <v>261</v>
      </c>
      <c r="H855" s="11" t="s">
        <v>1852</v>
      </c>
    </row>
    <row r="856" spans="1:8" x14ac:dyDescent="0.25">
      <c r="A856" s="11" t="s">
        <v>299</v>
      </c>
      <c r="B856" s="11" t="s">
        <v>2137</v>
      </c>
      <c r="C856" s="11" t="s">
        <v>2304</v>
      </c>
      <c r="D856" s="11" t="s">
        <v>2305</v>
      </c>
      <c r="E856" s="11"/>
      <c r="F856" s="11" t="s">
        <v>280</v>
      </c>
      <c r="G856" s="11" t="s">
        <v>261</v>
      </c>
      <c r="H856" s="11" t="s">
        <v>1852</v>
      </c>
    </row>
    <row r="857" spans="1:8" x14ac:dyDescent="0.25">
      <c r="A857" s="11" t="s">
        <v>299</v>
      </c>
      <c r="B857" s="11" t="s">
        <v>2137</v>
      </c>
      <c r="C857" s="11" t="s">
        <v>2306</v>
      </c>
      <c r="D857" s="11" t="s">
        <v>2307</v>
      </c>
      <c r="E857" s="11"/>
      <c r="F857" s="11" t="s">
        <v>280</v>
      </c>
      <c r="G857" s="11" t="s">
        <v>261</v>
      </c>
      <c r="H857" s="11" t="s">
        <v>1852</v>
      </c>
    </row>
    <row r="858" spans="1:8" x14ac:dyDescent="0.25">
      <c r="A858" s="11" t="s">
        <v>299</v>
      </c>
      <c r="B858" s="11" t="s">
        <v>2137</v>
      </c>
      <c r="C858" s="11" t="s">
        <v>2308</v>
      </c>
      <c r="D858" s="11" t="s">
        <v>2309</v>
      </c>
      <c r="E858" s="11"/>
      <c r="F858" s="11" t="s">
        <v>280</v>
      </c>
      <c r="G858" s="11" t="s">
        <v>261</v>
      </c>
      <c r="H858" s="11" t="s">
        <v>1852</v>
      </c>
    </row>
    <row r="859" spans="1:8" x14ac:dyDescent="0.25">
      <c r="A859" s="11" t="s">
        <v>299</v>
      </c>
      <c r="B859" s="11" t="s">
        <v>2137</v>
      </c>
      <c r="C859" s="11" t="s">
        <v>2310</v>
      </c>
      <c r="D859" s="11" t="s">
        <v>2311</v>
      </c>
      <c r="E859" s="11"/>
      <c r="F859" s="11" t="s">
        <v>280</v>
      </c>
      <c r="G859" s="11" t="s">
        <v>261</v>
      </c>
      <c r="H859" s="11" t="s">
        <v>1852</v>
      </c>
    </row>
    <row r="860" spans="1:8" x14ac:dyDescent="0.25">
      <c r="A860" s="11" t="s">
        <v>299</v>
      </c>
      <c r="B860" s="11" t="s">
        <v>2137</v>
      </c>
      <c r="C860" s="11" t="s">
        <v>2312</v>
      </c>
      <c r="D860" s="11" t="s">
        <v>2313</v>
      </c>
      <c r="E860" s="11"/>
      <c r="F860" s="11" t="s">
        <v>280</v>
      </c>
      <c r="G860" s="11" t="s">
        <v>261</v>
      </c>
      <c r="H860" s="11" t="s">
        <v>1852</v>
      </c>
    </row>
    <row r="861" spans="1:8" x14ac:dyDescent="0.25">
      <c r="A861" s="11" t="s">
        <v>299</v>
      </c>
      <c r="B861" s="11" t="s">
        <v>2137</v>
      </c>
      <c r="C861" s="11" t="s">
        <v>2314</v>
      </c>
      <c r="D861" s="11" t="s">
        <v>2315</v>
      </c>
      <c r="E861" s="11"/>
      <c r="F861" s="11" t="s">
        <v>280</v>
      </c>
      <c r="G861" s="11" t="s">
        <v>261</v>
      </c>
      <c r="H861" s="11" t="s">
        <v>1852</v>
      </c>
    </row>
    <row r="862" spans="1:8" x14ac:dyDescent="0.25">
      <c r="A862" s="11" t="s">
        <v>299</v>
      </c>
      <c r="B862" s="11" t="s">
        <v>2137</v>
      </c>
      <c r="C862" s="11" t="s">
        <v>2316</v>
      </c>
      <c r="D862" s="11" t="s">
        <v>2317</v>
      </c>
      <c r="E862" s="11"/>
      <c r="F862" s="11" t="s">
        <v>280</v>
      </c>
      <c r="G862" s="11" t="s">
        <v>261</v>
      </c>
      <c r="H862" s="11" t="s">
        <v>1852</v>
      </c>
    </row>
    <row r="863" spans="1:8" x14ac:dyDescent="0.25">
      <c r="A863" s="11" t="s">
        <v>299</v>
      </c>
      <c r="B863" s="11" t="s">
        <v>2137</v>
      </c>
      <c r="C863" s="11" t="s">
        <v>2318</v>
      </c>
      <c r="D863" s="11" t="s">
        <v>2319</v>
      </c>
      <c r="E863" s="11"/>
      <c r="F863" s="11" t="s">
        <v>280</v>
      </c>
      <c r="G863" s="11" t="s">
        <v>261</v>
      </c>
      <c r="H863" s="11" t="s">
        <v>1852</v>
      </c>
    </row>
    <row r="864" spans="1:8" x14ac:dyDescent="0.25">
      <c r="A864" s="11" t="s">
        <v>299</v>
      </c>
      <c r="B864" s="11" t="s">
        <v>2137</v>
      </c>
      <c r="C864" s="11" t="s">
        <v>2320</v>
      </c>
      <c r="D864" s="11" t="s">
        <v>2321</v>
      </c>
      <c r="E864" s="11"/>
      <c r="F864" s="11" t="s">
        <v>280</v>
      </c>
      <c r="G864" s="11" t="s">
        <v>261</v>
      </c>
      <c r="H864" s="11" t="s">
        <v>1852</v>
      </c>
    </row>
    <row r="865" spans="1:8" x14ac:dyDescent="0.25">
      <c r="A865" s="11" t="s">
        <v>299</v>
      </c>
      <c r="B865" s="11" t="s">
        <v>2137</v>
      </c>
      <c r="C865" s="11" t="s">
        <v>2322</v>
      </c>
      <c r="D865" s="11" t="s">
        <v>2323</v>
      </c>
      <c r="E865" s="11"/>
      <c r="F865" s="11" t="s">
        <v>280</v>
      </c>
      <c r="G865" s="11" t="s">
        <v>261</v>
      </c>
      <c r="H865" s="11" t="s">
        <v>1852</v>
      </c>
    </row>
    <row r="866" spans="1:8" x14ac:dyDescent="0.25">
      <c r="A866" s="11" t="s">
        <v>299</v>
      </c>
      <c r="B866" s="11" t="s">
        <v>2137</v>
      </c>
      <c r="C866" s="11" t="s">
        <v>2324</v>
      </c>
      <c r="D866" s="11" t="s">
        <v>2325</v>
      </c>
      <c r="E866" s="11"/>
      <c r="F866" s="11" t="s">
        <v>280</v>
      </c>
      <c r="G866" s="11" t="s">
        <v>261</v>
      </c>
      <c r="H866" s="11" t="s">
        <v>1852</v>
      </c>
    </row>
    <row r="867" spans="1:8" x14ac:dyDescent="0.25">
      <c r="A867" s="11" t="s">
        <v>299</v>
      </c>
      <c r="B867" s="11" t="s">
        <v>2137</v>
      </c>
      <c r="C867" s="11" t="s">
        <v>2326</v>
      </c>
      <c r="D867" s="11" t="s">
        <v>2327</v>
      </c>
      <c r="E867" s="11"/>
      <c r="F867" s="11" t="s">
        <v>280</v>
      </c>
      <c r="G867" s="11" t="s">
        <v>261</v>
      </c>
      <c r="H867" s="11" t="s">
        <v>1852</v>
      </c>
    </row>
    <row r="868" spans="1:8" x14ac:dyDescent="0.25">
      <c r="A868" s="11" t="s">
        <v>299</v>
      </c>
      <c r="B868" s="11" t="s">
        <v>2137</v>
      </c>
      <c r="C868" s="11" t="s">
        <v>2328</v>
      </c>
      <c r="D868" s="11" t="s">
        <v>2329</v>
      </c>
      <c r="E868" s="11"/>
      <c r="F868" s="11" t="s">
        <v>280</v>
      </c>
      <c r="G868" s="11" t="s">
        <v>261</v>
      </c>
      <c r="H868" s="11" t="s">
        <v>1852</v>
      </c>
    </row>
    <row r="869" spans="1:8" x14ac:dyDescent="0.25">
      <c r="A869" s="11" t="s">
        <v>299</v>
      </c>
      <c r="B869" s="11" t="s">
        <v>2137</v>
      </c>
      <c r="C869" s="11" t="s">
        <v>2330</v>
      </c>
      <c r="D869" s="11" t="s">
        <v>2331</v>
      </c>
      <c r="E869" s="11"/>
      <c r="F869" s="11" t="s">
        <v>280</v>
      </c>
      <c r="G869" s="11" t="s">
        <v>261</v>
      </c>
      <c r="H869" s="11" t="s">
        <v>1852</v>
      </c>
    </row>
    <row r="870" spans="1:8" x14ac:dyDescent="0.25">
      <c r="A870" s="11" t="s">
        <v>299</v>
      </c>
      <c r="B870" s="11" t="s">
        <v>2137</v>
      </c>
      <c r="C870" s="11" t="s">
        <v>2332</v>
      </c>
      <c r="D870" s="11" t="s">
        <v>2333</v>
      </c>
      <c r="E870" s="11"/>
      <c r="F870" s="11" t="s">
        <v>280</v>
      </c>
      <c r="G870" s="11" t="s">
        <v>261</v>
      </c>
      <c r="H870" s="11" t="s">
        <v>1852</v>
      </c>
    </row>
    <row r="871" spans="1:8" x14ac:dyDescent="0.25">
      <c r="A871" s="11" t="s">
        <v>299</v>
      </c>
      <c r="B871" s="11" t="s">
        <v>2137</v>
      </c>
      <c r="C871" s="11" t="s">
        <v>2334</v>
      </c>
      <c r="D871" s="11" t="s">
        <v>2335</v>
      </c>
      <c r="E871" s="11"/>
      <c r="F871" s="11" t="s">
        <v>280</v>
      </c>
      <c r="G871" s="11" t="s">
        <v>261</v>
      </c>
      <c r="H871" s="11" t="s">
        <v>1852</v>
      </c>
    </row>
    <row r="872" spans="1:8" x14ac:dyDescent="0.25">
      <c r="A872" s="11" t="s">
        <v>299</v>
      </c>
      <c r="B872" s="11" t="s">
        <v>2137</v>
      </c>
      <c r="C872" s="11" t="s">
        <v>2336</v>
      </c>
      <c r="D872" s="11" t="s">
        <v>2337</v>
      </c>
      <c r="E872" s="11"/>
      <c r="F872" s="11" t="s">
        <v>280</v>
      </c>
      <c r="G872" s="11" t="s">
        <v>261</v>
      </c>
      <c r="H872" s="11" t="s">
        <v>1852</v>
      </c>
    </row>
    <row r="873" spans="1:8" x14ac:dyDescent="0.25">
      <c r="A873" s="11" t="s">
        <v>304</v>
      </c>
      <c r="B873" s="11" t="s">
        <v>2338</v>
      </c>
      <c r="C873" s="11" t="s">
        <v>2339</v>
      </c>
      <c r="D873" s="11" t="s">
        <v>2340</v>
      </c>
      <c r="E873" s="11"/>
      <c r="F873" s="11" t="s">
        <v>280</v>
      </c>
      <c r="G873" s="11" t="s">
        <v>261</v>
      </c>
      <c r="H873" s="11" t="s">
        <v>1852</v>
      </c>
    </row>
    <row r="874" spans="1:8" x14ac:dyDescent="0.25">
      <c r="A874" s="11" t="s">
        <v>304</v>
      </c>
      <c r="B874" s="11" t="s">
        <v>2338</v>
      </c>
      <c r="C874" s="11" t="s">
        <v>2341</v>
      </c>
      <c r="D874" s="11" t="s">
        <v>2342</v>
      </c>
      <c r="E874" s="11"/>
      <c r="F874" s="11" t="s">
        <v>280</v>
      </c>
      <c r="G874" s="11" t="s">
        <v>261</v>
      </c>
      <c r="H874" s="11" t="s">
        <v>1852</v>
      </c>
    </row>
    <row r="875" spans="1:8" x14ac:dyDescent="0.25">
      <c r="A875" s="11" t="s">
        <v>304</v>
      </c>
      <c r="B875" s="11" t="s">
        <v>2338</v>
      </c>
      <c r="C875" s="11" t="s">
        <v>2343</v>
      </c>
      <c r="D875" s="11" t="s">
        <v>2344</v>
      </c>
      <c r="E875" s="11"/>
      <c r="F875" s="11" t="s">
        <v>280</v>
      </c>
      <c r="G875" s="11" t="s">
        <v>261</v>
      </c>
      <c r="H875" s="11" t="s">
        <v>1852</v>
      </c>
    </row>
    <row r="876" spans="1:8" x14ac:dyDescent="0.25">
      <c r="A876" s="11" t="s">
        <v>304</v>
      </c>
      <c r="B876" s="11" t="s">
        <v>2338</v>
      </c>
      <c r="C876" s="11" t="s">
        <v>2345</v>
      </c>
      <c r="D876" s="11" t="s">
        <v>2346</v>
      </c>
      <c r="E876" s="11"/>
      <c r="F876" s="11" t="s">
        <v>280</v>
      </c>
      <c r="G876" s="11" t="s">
        <v>261</v>
      </c>
      <c r="H876" s="11" t="s">
        <v>1852</v>
      </c>
    </row>
    <row r="877" spans="1:8" x14ac:dyDescent="0.25">
      <c r="A877" s="11" t="s">
        <v>304</v>
      </c>
      <c r="B877" s="11" t="s">
        <v>2338</v>
      </c>
      <c r="C877" s="11" t="s">
        <v>2347</v>
      </c>
      <c r="D877" s="11" t="s">
        <v>2348</v>
      </c>
      <c r="E877" s="11"/>
      <c r="F877" s="11" t="s">
        <v>280</v>
      </c>
      <c r="G877" s="11" t="s">
        <v>261</v>
      </c>
      <c r="H877" s="11" t="s">
        <v>1852</v>
      </c>
    </row>
    <row r="878" spans="1:8" x14ac:dyDescent="0.25">
      <c r="A878" s="11" t="s">
        <v>304</v>
      </c>
      <c r="B878" s="11" t="s">
        <v>2338</v>
      </c>
      <c r="C878" s="11" t="s">
        <v>2349</v>
      </c>
      <c r="D878" s="11" t="s">
        <v>2350</v>
      </c>
      <c r="E878" s="11"/>
      <c r="F878" s="11" t="s">
        <v>280</v>
      </c>
      <c r="G878" s="11" t="s">
        <v>261</v>
      </c>
      <c r="H878" s="11" t="s">
        <v>1852</v>
      </c>
    </row>
    <row r="879" spans="1:8" x14ac:dyDescent="0.25">
      <c r="A879" s="11" t="s">
        <v>304</v>
      </c>
      <c r="B879" s="11" t="s">
        <v>2338</v>
      </c>
      <c r="C879" s="11" t="s">
        <v>2351</v>
      </c>
      <c r="D879" s="11" t="s">
        <v>2352</v>
      </c>
      <c r="E879" s="11"/>
      <c r="F879" s="11" t="s">
        <v>280</v>
      </c>
      <c r="G879" s="11" t="s">
        <v>261</v>
      </c>
      <c r="H879" s="11" t="s">
        <v>1852</v>
      </c>
    </row>
    <row r="880" spans="1:8" x14ac:dyDescent="0.25">
      <c r="A880" s="11" t="s">
        <v>304</v>
      </c>
      <c r="B880" s="11" t="s">
        <v>2338</v>
      </c>
      <c r="C880" s="11" t="s">
        <v>2353</v>
      </c>
      <c r="D880" s="11" t="s">
        <v>2354</v>
      </c>
      <c r="E880" s="11"/>
      <c r="F880" s="11" t="s">
        <v>280</v>
      </c>
      <c r="G880" s="11" t="s">
        <v>261</v>
      </c>
      <c r="H880" s="11" t="s">
        <v>1852</v>
      </c>
    </row>
    <row r="881" spans="1:8" x14ac:dyDescent="0.25">
      <c r="A881" s="11" t="s">
        <v>304</v>
      </c>
      <c r="B881" s="11" t="s">
        <v>2338</v>
      </c>
      <c r="C881" s="11" t="s">
        <v>2355</v>
      </c>
      <c r="D881" s="11" t="s">
        <v>2356</v>
      </c>
      <c r="E881" s="11"/>
      <c r="F881" s="11" t="s">
        <v>280</v>
      </c>
      <c r="G881" s="11" t="s">
        <v>261</v>
      </c>
      <c r="H881" s="11" t="s">
        <v>1852</v>
      </c>
    </row>
    <row r="882" spans="1:8" x14ac:dyDescent="0.25">
      <c r="A882" s="11" t="s">
        <v>304</v>
      </c>
      <c r="B882" s="11" t="s">
        <v>2338</v>
      </c>
      <c r="C882" s="11" t="s">
        <v>2357</v>
      </c>
      <c r="D882" s="11" t="s">
        <v>2358</v>
      </c>
      <c r="E882" s="11"/>
      <c r="F882" s="11" t="s">
        <v>280</v>
      </c>
      <c r="G882" s="11" t="s">
        <v>261</v>
      </c>
      <c r="H882" s="11" t="s">
        <v>1852</v>
      </c>
    </row>
    <row r="883" spans="1:8" x14ac:dyDescent="0.25">
      <c r="A883" s="11" t="s">
        <v>304</v>
      </c>
      <c r="B883" s="11" t="s">
        <v>2338</v>
      </c>
      <c r="C883" s="11" t="s">
        <v>2359</v>
      </c>
      <c r="D883" s="11" t="s">
        <v>2360</v>
      </c>
      <c r="E883" s="11"/>
      <c r="F883" s="11" t="s">
        <v>280</v>
      </c>
      <c r="G883" s="11" t="s">
        <v>261</v>
      </c>
      <c r="H883" s="11" t="s">
        <v>1852</v>
      </c>
    </row>
    <row r="884" spans="1:8" x14ac:dyDescent="0.25">
      <c r="A884" s="11" t="s">
        <v>304</v>
      </c>
      <c r="B884" s="11" t="s">
        <v>2338</v>
      </c>
      <c r="C884" s="11" t="s">
        <v>2361</v>
      </c>
      <c r="D884" s="11" t="s">
        <v>2362</v>
      </c>
      <c r="E884" s="11"/>
      <c r="F884" s="11" t="s">
        <v>280</v>
      </c>
      <c r="G884" s="11" t="s">
        <v>261</v>
      </c>
      <c r="H884" s="11" t="s">
        <v>1852</v>
      </c>
    </row>
    <row r="885" spans="1:8" x14ac:dyDescent="0.25">
      <c r="A885" s="11" t="s">
        <v>304</v>
      </c>
      <c r="B885" s="11" t="s">
        <v>2338</v>
      </c>
      <c r="C885" s="11" t="s">
        <v>2363</v>
      </c>
      <c r="D885" s="11" t="s">
        <v>2364</v>
      </c>
      <c r="E885" s="11"/>
      <c r="F885" s="11" t="s">
        <v>280</v>
      </c>
      <c r="G885" s="11" t="s">
        <v>261</v>
      </c>
      <c r="H885" s="11" t="s">
        <v>1852</v>
      </c>
    </row>
    <row r="886" spans="1:8" x14ac:dyDescent="0.25">
      <c r="A886" s="11" t="s">
        <v>304</v>
      </c>
      <c r="B886" s="11" t="s">
        <v>2338</v>
      </c>
      <c r="C886" s="11" t="s">
        <v>2365</v>
      </c>
      <c r="D886" s="11" t="s">
        <v>2366</v>
      </c>
      <c r="E886" s="11"/>
      <c r="F886" s="11" t="s">
        <v>280</v>
      </c>
      <c r="G886" s="11" t="s">
        <v>261</v>
      </c>
      <c r="H886" s="11" t="s">
        <v>1852</v>
      </c>
    </row>
    <row r="887" spans="1:8" x14ac:dyDescent="0.25">
      <c r="A887" s="11" t="s">
        <v>304</v>
      </c>
      <c r="B887" s="11" t="s">
        <v>2338</v>
      </c>
      <c r="C887" s="11" t="s">
        <v>2367</v>
      </c>
      <c r="D887" s="11" t="s">
        <v>2368</v>
      </c>
      <c r="E887" s="11"/>
      <c r="F887" s="11" t="s">
        <v>280</v>
      </c>
      <c r="G887" s="11" t="s">
        <v>261</v>
      </c>
      <c r="H887" s="11" t="s">
        <v>1852</v>
      </c>
    </row>
    <row r="888" spans="1:8" x14ac:dyDescent="0.25">
      <c r="A888" s="11" t="s">
        <v>304</v>
      </c>
      <c r="B888" s="11" t="s">
        <v>2338</v>
      </c>
      <c r="C888" s="11" t="s">
        <v>2369</v>
      </c>
      <c r="D888" s="11" t="s">
        <v>2370</v>
      </c>
      <c r="E888" s="11"/>
      <c r="F888" s="11" t="s">
        <v>280</v>
      </c>
      <c r="G888" s="11" t="s">
        <v>261</v>
      </c>
      <c r="H888" s="11" t="s">
        <v>1852</v>
      </c>
    </row>
    <row r="889" spans="1:8" x14ac:dyDescent="0.25">
      <c r="A889" s="11" t="s">
        <v>304</v>
      </c>
      <c r="B889" s="11" t="s">
        <v>2338</v>
      </c>
      <c r="C889" s="11" t="s">
        <v>2371</v>
      </c>
      <c r="D889" s="11" t="s">
        <v>2372</v>
      </c>
      <c r="E889" s="11"/>
      <c r="F889" s="11" t="s">
        <v>280</v>
      </c>
      <c r="G889" s="11" t="s">
        <v>261</v>
      </c>
      <c r="H889" s="11" t="s">
        <v>1852</v>
      </c>
    </row>
    <row r="890" spans="1:8" x14ac:dyDescent="0.25">
      <c r="A890" s="11" t="s">
        <v>304</v>
      </c>
      <c r="B890" s="11" t="s">
        <v>2338</v>
      </c>
      <c r="C890" s="11" t="s">
        <v>2373</v>
      </c>
      <c r="D890" s="11" t="s">
        <v>2374</v>
      </c>
      <c r="E890" s="11"/>
      <c r="F890" s="11" t="s">
        <v>280</v>
      </c>
      <c r="G890" s="11" t="s">
        <v>261</v>
      </c>
      <c r="H890" s="11" t="s">
        <v>1852</v>
      </c>
    </row>
    <row r="891" spans="1:8" x14ac:dyDescent="0.25">
      <c r="A891" s="11" t="s">
        <v>304</v>
      </c>
      <c r="B891" s="11" t="s">
        <v>2338</v>
      </c>
      <c r="C891" s="11" t="s">
        <v>2375</v>
      </c>
      <c r="D891" s="11" t="s">
        <v>2376</v>
      </c>
      <c r="E891" s="11"/>
      <c r="F891" s="11" t="s">
        <v>280</v>
      </c>
      <c r="G891" s="11" t="s">
        <v>261</v>
      </c>
      <c r="H891" s="11" t="s">
        <v>1852</v>
      </c>
    </row>
    <row r="892" spans="1:8" x14ac:dyDescent="0.25">
      <c r="A892" s="11" t="s">
        <v>304</v>
      </c>
      <c r="B892" s="11" t="s">
        <v>2338</v>
      </c>
      <c r="C892" s="11" t="s">
        <v>2377</v>
      </c>
      <c r="D892" s="11" t="s">
        <v>2378</v>
      </c>
      <c r="E892" s="11"/>
      <c r="F892" s="11" t="s">
        <v>280</v>
      </c>
      <c r="G892" s="11" t="s">
        <v>261</v>
      </c>
      <c r="H892" s="11" t="s">
        <v>1852</v>
      </c>
    </row>
    <row r="893" spans="1:8" x14ac:dyDescent="0.25">
      <c r="A893" s="11" t="s">
        <v>309</v>
      </c>
      <c r="B893" s="11" t="s">
        <v>2379</v>
      </c>
      <c r="C893" s="11" t="s">
        <v>2380</v>
      </c>
      <c r="D893" s="11" t="s">
        <v>2139</v>
      </c>
      <c r="E893" s="11"/>
      <c r="F893" s="11" t="s">
        <v>280</v>
      </c>
      <c r="G893" s="11" t="s">
        <v>261</v>
      </c>
      <c r="H893" s="11" t="s">
        <v>1852</v>
      </c>
    </row>
    <row r="894" spans="1:8" x14ac:dyDescent="0.25">
      <c r="A894" s="11" t="s">
        <v>309</v>
      </c>
      <c r="B894" s="11" t="s">
        <v>2379</v>
      </c>
      <c r="C894" s="11" t="s">
        <v>2381</v>
      </c>
      <c r="D894" s="11" t="s">
        <v>2141</v>
      </c>
      <c r="E894" s="11"/>
      <c r="F894" s="11" t="s">
        <v>280</v>
      </c>
      <c r="G894" s="11" t="s">
        <v>261</v>
      </c>
      <c r="H894" s="11" t="s">
        <v>1852</v>
      </c>
    </row>
    <row r="895" spans="1:8" x14ac:dyDescent="0.25">
      <c r="A895" s="11" t="s">
        <v>309</v>
      </c>
      <c r="B895" s="11" t="s">
        <v>2379</v>
      </c>
      <c r="C895" s="11" t="s">
        <v>2382</v>
      </c>
      <c r="D895" s="11" t="s">
        <v>2143</v>
      </c>
      <c r="E895" s="11"/>
      <c r="F895" s="11" t="s">
        <v>280</v>
      </c>
      <c r="G895" s="11" t="s">
        <v>261</v>
      </c>
      <c r="H895" s="11" t="s">
        <v>1852</v>
      </c>
    </row>
    <row r="896" spans="1:8" x14ac:dyDescent="0.25">
      <c r="A896" s="11" t="s">
        <v>309</v>
      </c>
      <c r="B896" s="11" t="s">
        <v>2379</v>
      </c>
      <c r="C896" s="11" t="s">
        <v>2383</v>
      </c>
      <c r="D896" s="11" t="s">
        <v>2145</v>
      </c>
      <c r="E896" s="11"/>
      <c r="F896" s="11" t="s">
        <v>280</v>
      </c>
      <c r="G896" s="11" t="s">
        <v>261</v>
      </c>
      <c r="H896" s="11" t="s">
        <v>1852</v>
      </c>
    </row>
    <row r="897" spans="1:8" x14ac:dyDescent="0.25">
      <c r="A897" s="11" t="s">
        <v>309</v>
      </c>
      <c r="B897" s="11" t="s">
        <v>2379</v>
      </c>
      <c r="C897" s="11" t="s">
        <v>2384</v>
      </c>
      <c r="D897" s="11" t="s">
        <v>2147</v>
      </c>
      <c r="E897" s="11"/>
      <c r="F897" s="11" t="s">
        <v>280</v>
      </c>
      <c r="G897" s="11" t="s">
        <v>261</v>
      </c>
      <c r="H897" s="11" t="s">
        <v>1852</v>
      </c>
    </row>
    <row r="898" spans="1:8" x14ac:dyDescent="0.25">
      <c r="A898" s="11" t="s">
        <v>309</v>
      </c>
      <c r="B898" s="11" t="s">
        <v>2379</v>
      </c>
      <c r="C898" s="11" t="s">
        <v>2385</v>
      </c>
      <c r="D898" s="11" t="s">
        <v>2149</v>
      </c>
      <c r="E898" s="11"/>
      <c r="F898" s="11" t="s">
        <v>280</v>
      </c>
      <c r="G898" s="11" t="s">
        <v>261</v>
      </c>
      <c r="H898" s="11" t="s">
        <v>1852</v>
      </c>
    </row>
    <row r="899" spans="1:8" x14ac:dyDescent="0.25">
      <c r="A899" s="11" t="s">
        <v>309</v>
      </c>
      <c r="B899" s="11" t="s">
        <v>2379</v>
      </c>
      <c r="C899" s="11" t="s">
        <v>2386</v>
      </c>
      <c r="D899" s="11" t="s">
        <v>2151</v>
      </c>
      <c r="E899" s="11"/>
      <c r="F899" s="11" t="s">
        <v>280</v>
      </c>
      <c r="G899" s="11" t="s">
        <v>261</v>
      </c>
      <c r="H899" s="11" t="s">
        <v>1852</v>
      </c>
    </row>
    <row r="900" spans="1:8" x14ac:dyDescent="0.25">
      <c r="A900" s="11" t="s">
        <v>309</v>
      </c>
      <c r="B900" s="11" t="s">
        <v>2379</v>
      </c>
      <c r="C900" s="11" t="s">
        <v>2387</v>
      </c>
      <c r="D900" s="11" t="s">
        <v>2153</v>
      </c>
      <c r="E900" s="11"/>
      <c r="F900" s="11" t="s">
        <v>280</v>
      </c>
      <c r="G900" s="11" t="s">
        <v>261</v>
      </c>
      <c r="H900" s="11" t="s">
        <v>1852</v>
      </c>
    </row>
    <row r="901" spans="1:8" x14ac:dyDescent="0.25">
      <c r="A901" s="11" t="s">
        <v>309</v>
      </c>
      <c r="B901" s="11" t="s">
        <v>2379</v>
      </c>
      <c r="C901" s="11" t="s">
        <v>2388</v>
      </c>
      <c r="D901" s="11" t="s">
        <v>2155</v>
      </c>
      <c r="E901" s="11"/>
      <c r="F901" s="11" t="s">
        <v>280</v>
      </c>
      <c r="G901" s="11" t="s">
        <v>261</v>
      </c>
      <c r="H901" s="11" t="s">
        <v>1852</v>
      </c>
    </row>
    <row r="902" spans="1:8" x14ac:dyDescent="0.25">
      <c r="A902" s="11" t="s">
        <v>309</v>
      </c>
      <c r="B902" s="11" t="s">
        <v>2379</v>
      </c>
      <c r="C902" s="11" t="s">
        <v>2389</v>
      </c>
      <c r="D902" s="11" t="s">
        <v>2157</v>
      </c>
      <c r="E902" s="11"/>
      <c r="F902" s="11" t="s">
        <v>280</v>
      </c>
      <c r="G902" s="11" t="s">
        <v>261</v>
      </c>
      <c r="H902" s="11" t="s">
        <v>1852</v>
      </c>
    </row>
    <row r="903" spans="1:8" x14ac:dyDescent="0.25">
      <c r="A903" s="11" t="s">
        <v>309</v>
      </c>
      <c r="B903" s="11" t="s">
        <v>2379</v>
      </c>
      <c r="C903" s="11" t="s">
        <v>2390</v>
      </c>
      <c r="D903" s="11" t="s">
        <v>2159</v>
      </c>
      <c r="E903" s="11"/>
      <c r="F903" s="11" t="s">
        <v>280</v>
      </c>
      <c r="G903" s="11" t="s">
        <v>261</v>
      </c>
      <c r="H903" s="11" t="s">
        <v>1852</v>
      </c>
    </row>
    <row r="904" spans="1:8" x14ac:dyDescent="0.25">
      <c r="A904" s="11" t="s">
        <v>309</v>
      </c>
      <c r="B904" s="11" t="s">
        <v>2379</v>
      </c>
      <c r="C904" s="11" t="s">
        <v>2391</v>
      </c>
      <c r="D904" s="11" t="s">
        <v>2161</v>
      </c>
      <c r="E904" s="11"/>
      <c r="F904" s="11" t="s">
        <v>280</v>
      </c>
      <c r="G904" s="11" t="s">
        <v>261</v>
      </c>
      <c r="H904" s="11" t="s">
        <v>1852</v>
      </c>
    </row>
    <row r="905" spans="1:8" x14ac:dyDescent="0.25">
      <c r="A905" s="11" t="s">
        <v>309</v>
      </c>
      <c r="B905" s="11" t="s">
        <v>2379</v>
      </c>
      <c r="C905" s="11" t="s">
        <v>2392</v>
      </c>
      <c r="D905" s="11" t="s">
        <v>2163</v>
      </c>
      <c r="E905" s="11"/>
      <c r="F905" s="11" t="s">
        <v>280</v>
      </c>
      <c r="G905" s="11" t="s">
        <v>261</v>
      </c>
      <c r="H905" s="11" t="s">
        <v>1852</v>
      </c>
    </row>
    <row r="906" spans="1:8" x14ac:dyDescent="0.25">
      <c r="A906" s="11" t="s">
        <v>309</v>
      </c>
      <c r="B906" s="11" t="s">
        <v>2379</v>
      </c>
      <c r="C906" s="11" t="s">
        <v>2393</v>
      </c>
      <c r="D906" s="11" t="s">
        <v>2165</v>
      </c>
      <c r="E906" s="11"/>
      <c r="F906" s="11" t="s">
        <v>280</v>
      </c>
      <c r="G906" s="11" t="s">
        <v>261</v>
      </c>
      <c r="H906" s="11" t="s">
        <v>1852</v>
      </c>
    </row>
    <row r="907" spans="1:8" x14ac:dyDescent="0.25">
      <c r="A907" s="11" t="s">
        <v>309</v>
      </c>
      <c r="B907" s="11" t="s">
        <v>2379</v>
      </c>
      <c r="C907" s="11" t="s">
        <v>2394</v>
      </c>
      <c r="D907" s="11" t="s">
        <v>2167</v>
      </c>
      <c r="E907" s="11"/>
      <c r="F907" s="11" t="s">
        <v>280</v>
      </c>
      <c r="G907" s="11" t="s">
        <v>261</v>
      </c>
      <c r="H907" s="11" t="s">
        <v>1852</v>
      </c>
    </row>
    <row r="908" spans="1:8" x14ac:dyDescent="0.25">
      <c r="A908" s="11" t="s">
        <v>309</v>
      </c>
      <c r="B908" s="11" t="s">
        <v>2379</v>
      </c>
      <c r="C908" s="11" t="s">
        <v>2395</v>
      </c>
      <c r="D908" s="11" t="s">
        <v>2169</v>
      </c>
      <c r="E908" s="11"/>
      <c r="F908" s="11" t="s">
        <v>280</v>
      </c>
      <c r="G908" s="11" t="s">
        <v>261</v>
      </c>
      <c r="H908" s="11" t="s">
        <v>1852</v>
      </c>
    </row>
    <row r="909" spans="1:8" x14ac:dyDescent="0.25">
      <c r="A909" s="11" t="s">
        <v>309</v>
      </c>
      <c r="B909" s="11" t="s">
        <v>2379</v>
      </c>
      <c r="C909" s="11" t="s">
        <v>2396</v>
      </c>
      <c r="D909" s="11" t="s">
        <v>2171</v>
      </c>
      <c r="E909" s="11"/>
      <c r="F909" s="11" t="s">
        <v>280</v>
      </c>
      <c r="G909" s="11" t="s">
        <v>261</v>
      </c>
      <c r="H909" s="11" t="s">
        <v>1852</v>
      </c>
    </row>
    <row r="910" spans="1:8" x14ac:dyDescent="0.25">
      <c r="A910" s="11" t="s">
        <v>309</v>
      </c>
      <c r="B910" s="11" t="s">
        <v>2379</v>
      </c>
      <c r="C910" s="11" t="s">
        <v>2397</v>
      </c>
      <c r="D910" s="11" t="s">
        <v>2173</v>
      </c>
      <c r="E910" s="11"/>
      <c r="F910" s="11" t="s">
        <v>280</v>
      </c>
      <c r="G910" s="11" t="s">
        <v>261</v>
      </c>
      <c r="H910" s="11" t="s">
        <v>1852</v>
      </c>
    </row>
    <row r="911" spans="1:8" x14ac:dyDescent="0.25">
      <c r="A911" s="11" t="s">
        <v>309</v>
      </c>
      <c r="B911" s="11" t="s">
        <v>2379</v>
      </c>
      <c r="C911" s="11" t="s">
        <v>2398</v>
      </c>
      <c r="D911" s="11" t="s">
        <v>2175</v>
      </c>
      <c r="E911" s="11"/>
      <c r="F911" s="11" t="s">
        <v>280</v>
      </c>
      <c r="G911" s="11" t="s">
        <v>261</v>
      </c>
      <c r="H911" s="11" t="s">
        <v>1852</v>
      </c>
    </row>
    <row r="912" spans="1:8" x14ac:dyDescent="0.25">
      <c r="A912" s="11" t="s">
        <v>309</v>
      </c>
      <c r="B912" s="11" t="s">
        <v>2379</v>
      </c>
      <c r="C912" s="11" t="s">
        <v>2399</v>
      </c>
      <c r="D912" s="11" t="s">
        <v>2177</v>
      </c>
      <c r="E912" s="11"/>
      <c r="F912" s="11" t="s">
        <v>280</v>
      </c>
      <c r="G912" s="11" t="s">
        <v>261</v>
      </c>
      <c r="H912" s="11" t="s">
        <v>1852</v>
      </c>
    </row>
    <row r="913" spans="1:8" x14ac:dyDescent="0.25">
      <c r="A913" s="11" t="s">
        <v>309</v>
      </c>
      <c r="B913" s="11" t="s">
        <v>2379</v>
      </c>
      <c r="C913" s="11" t="s">
        <v>2400</v>
      </c>
      <c r="D913" s="11" t="s">
        <v>2179</v>
      </c>
      <c r="E913" s="11"/>
      <c r="F913" s="11" t="s">
        <v>280</v>
      </c>
      <c r="G913" s="11" t="s">
        <v>261</v>
      </c>
      <c r="H913" s="11" t="s">
        <v>1852</v>
      </c>
    </row>
    <row r="914" spans="1:8" x14ac:dyDescent="0.25">
      <c r="A914" s="11" t="s">
        <v>309</v>
      </c>
      <c r="B914" s="11" t="s">
        <v>2379</v>
      </c>
      <c r="C914" s="11" t="s">
        <v>2401</v>
      </c>
      <c r="D914" s="11" t="s">
        <v>2181</v>
      </c>
      <c r="E914" s="11"/>
      <c r="F914" s="11" t="s">
        <v>280</v>
      </c>
      <c r="G914" s="11" t="s">
        <v>261</v>
      </c>
      <c r="H914" s="11" t="s">
        <v>1852</v>
      </c>
    </row>
    <row r="915" spans="1:8" x14ac:dyDescent="0.25">
      <c r="A915" s="11" t="s">
        <v>309</v>
      </c>
      <c r="B915" s="11" t="s">
        <v>2379</v>
      </c>
      <c r="C915" s="11" t="s">
        <v>2402</v>
      </c>
      <c r="D915" s="11" t="s">
        <v>2183</v>
      </c>
      <c r="E915" s="11"/>
      <c r="F915" s="11" t="s">
        <v>280</v>
      </c>
      <c r="G915" s="11" t="s">
        <v>261</v>
      </c>
      <c r="H915" s="11" t="s">
        <v>1852</v>
      </c>
    </row>
    <row r="916" spans="1:8" x14ac:dyDescent="0.25">
      <c r="A916" s="11" t="s">
        <v>309</v>
      </c>
      <c r="B916" s="11" t="s">
        <v>2379</v>
      </c>
      <c r="C916" s="11" t="s">
        <v>2403</v>
      </c>
      <c r="D916" s="11" t="s">
        <v>2185</v>
      </c>
      <c r="E916" s="11"/>
      <c r="F916" s="11" t="s">
        <v>280</v>
      </c>
      <c r="G916" s="11" t="s">
        <v>261</v>
      </c>
      <c r="H916" s="11" t="s">
        <v>1852</v>
      </c>
    </row>
    <row r="917" spans="1:8" x14ac:dyDescent="0.25">
      <c r="A917" s="11" t="s">
        <v>309</v>
      </c>
      <c r="B917" s="11" t="s">
        <v>2379</v>
      </c>
      <c r="C917" s="11" t="s">
        <v>2404</v>
      </c>
      <c r="D917" s="11" t="s">
        <v>2187</v>
      </c>
      <c r="E917" s="11"/>
      <c r="F917" s="11" t="s">
        <v>280</v>
      </c>
      <c r="G917" s="11" t="s">
        <v>261</v>
      </c>
      <c r="H917" s="11" t="s">
        <v>1852</v>
      </c>
    </row>
    <row r="918" spans="1:8" x14ac:dyDescent="0.25">
      <c r="A918" s="11" t="s">
        <v>309</v>
      </c>
      <c r="B918" s="11" t="s">
        <v>2379</v>
      </c>
      <c r="C918" s="11" t="s">
        <v>2405</v>
      </c>
      <c r="D918" s="11" t="s">
        <v>2189</v>
      </c>
      <c r="E918" s="11"/>
      <c r="F918" s="11" t="s">
        <v>280</v>
      </c>
      <c r="G918" s="11" t="s">
        <v>261</v>
      </c>
      <c r="H918" s="11" t="s">
        <v>1852</v>
      </c>
    </row>
    <row r="919" spans="1:8" x14ac:dyDescent="0.25">
      <c r="A919" s="11" t="s">
        <v>309</v>
      </c>
      <c r="B919" s="11" t="s">
        <v>2379</v>
      </c>
      <c r="C919" s="11" t="s">
        <v>2406</v>
      </c>
      <c r="D919" s="11" t="s">
        <v>2191</v>
      </c>
      <c r="E919" s="11"/>
      <c r="F919" s="11" t="s">
        <v>280</v>
      </c>
      <c r="G919" s="11" t="s">
        <v>261</v>
      </c>
      <c r="H919" s="11" t="s">
        <v>1852</v>
      </c>
    </row>
    <row r="920" spans="1:8" x14ac:dyDescent="0.25">
      <c r="A920" s="11" t="s">
        <v>309</v>
      </c>
      <c r="B920" s="11" t="s">
        <v>2379</v>
      </c>
      <c r="C920" s="11" t="s">
        <v>2407</v>
      </c>
      <c r="D920" s="11" t="s">
        <v>2193</v>
      </c>
      <c r="E920" s="11"/>
      <c r="F920" s="11" t="s">
        <v>280</v>
      </c>
      <c r="G920" s="11" t="s">
        <v>261</v>
      </c>
      <c r="H920" s="11" t="s">
        <v>1852</v>
      </c>
    </row>
    <row r="921" spans="1:8" x14ac:dyDescent="0.25">
      <c r="A921" s="11" t="s">
        <v>309</v>
      </c>
      <c r="B921" s="11" t="s">
        <v>2379</v>
      </c>
      <c r="C921" s="11" t="s">
        <v>2408</v>
      </c>
      <c r="D921" s="11" t="s">
        <v>2195</v>
      </c>
      <c r="E921" s="11"/>
      <c r="F921" s="11" t="s">
        <v>280</v>
      </c>
      <c r="G921" s="11" t="s">
        <v>261</v>
      </c>
      <c r="H921" s="11" t="s">
        <v>1852</v>
      </c>
    </row>
    <row r="922" spans="1:8" x14ac:dyDescent="0.25">
      <c r="A922" s="11" t="s">
        <v>309</v>
      </c>
      <c r="B922" s="11" t="s">
        <v>2379</v>
      </c>
      <c r="C922" s="11" t="s">
        <v>2409</v>
      </c>
      <c r="D922" s="11" t="s">
        <v>2197</v>
      </c>
      <c r="E922" s="11"/>
      <c r="F922" s="11" t="s">
        <v>280</v>
      </c>
      <c r="G922" s="11" t="s">
        <v>261</v>
      </c>
      <c r="H922" s="11" t="s">
        <v>1852</v>
      </c>
    </row>
    <row r="923" spans="1:8" x14ac:dyDescent="0.25">
      <c r="A923" s="11" t="s">
        <v>312</v>
      </c>
      <c r="B923" s="11" t="s">
        <v>2379</v>
      </c>
      <c r="C923" s="11" t="s">
        <v>2410</v>
      </c>
      <c r="D923" s="11" t="s">
        <v>2411</v>
      </c>
      <c r="E923" s="11"/>
      <c r="F923" s="11" t="s">
        <v>280</v>
      </c>
      <c r="G923" s="11" t="s">
        <v>261</v>
      </c>
      <c r="H923" s="11" t="s">
        <v>1852</v>
      </c>
    </row>
    <row r="924" spans="1:8" x14ac:dyDescent="0.25">
      <c r="A924" s="11" t="s">
        <v>312</v>
      </c>
      <c r="B924" s="11" t="s">
        <v>2379</v>
      </c>
      <c r="C924" s="11" t="s">
        <v>2412</v>
      </c>
      <c r="D924" s="11" t="s">
        <v>2413</v>
      </c>
      <c r="E924" s="11"/>
      <c r="F924" s="11" t="s">
        <v>280</v>
      </c>
      <c r="G924" s="11" t="s">
        <v>261</v>
      </c>
      <c r="H924" s="11" t="s">
        <v>1852</v>
      </c>
    </row>
    <row r="925" spans="1:8" x14ac:dyDescent="0.25">
      <c r="A925" s="11" t="s">
        <v>312</v>
      </c>
      <c r="B925" s="11" t="s">
        <v>2379</v>
      </c>
      <c r="C925" s="11" t="s">
        <v>2414</v>
      </c>
      <c r="D925" s="11" t="s">
        <v>2415</v>
      </c>
      <c r="E925" s="11"/>
      <c r="F925" s="11" t="s">
        <v>280</v>
      </c>
      <c r="G925" s="11" t="s">
        <v>261</v>
      </c>
      <c r="H925" s="11" t="s">
        <v>1852</v>
      </c>
    </row>
    <row r="926" spans="1:8" x14ac:dyDescent="0.25">
      <c r="A926" s="11" t="s">
        <v>312</v>
      </c>
      <c r="B926" s="11" t="s">
        <v>2379</v>
      </c>
      <c r="C926" s="11" t="s">
        <v>2416</v>
      </c>
      <c r="D926" s="11" t="s">
        <v>2417</v>
      </c>
      <c r="E926" s="11"/>
      <c r="F926" s="11" t="s">
        <v>280</v>
      </c>
      <c r="G926" s="11" t="s">
        <v>261</v>
      </c>
      <c r="H926" s="11" t="s">
        <v>1852</v>
      </c>
    </row>
    <row r="927" spans="1:8" x14ac:dyDescent="0.25">
      <c r="A927" s="11" t="s">
        <v>312</v>
      </c>
      <c r="B927" s="11" t="s">
        <v>2379</v>
      </c>
      <c r="C927" s="11" t="s">
        <v>2418</v>
      </c>
      <c r="D927" s="11" t="s">
        <v>2419</v>
      </c>
      <c r="E927" s="11"/>
      <c r="F927" s="11" t="s">
        <v>280</v>
      </c>
      <c r="G927" s="11" t="s">
        <v>261</v>
      </c>
      <c r="H927" s="11" t="s">
        <v>1852</v>
      </c>
    </row>
    <row r="928" spans="1:8" x14ac:dyDescent="0.25">
      <c r="A928" s="11" t="s">
        <v>312</v>
      </c>
      <c r="B928" s="11" t="s">
        <v>2379</v>
      </c>
      <c r="C928" s="11" t="s">
        <v>2420</v>
      </c>
      <c r="D928" s="11" t="s">
        <v>2421</v>
      </c>
      <c r="E928" s="11"/>
      <c r="F928" s="11" t="s">
        <v>280</v>
      </c>
      <c r="G928" s="11" t="s">
        <v>261</v>
      </c>
      <c r="H928" s="11" t="s">
        <v>1852</v>
      </c>
    </row>
    <row r="929" spans="1:8" x14ac:dyDescent="0.25">
      <c r="A929" s="11" t="s">
        <v>312</v>
      </c>
      <c r="B929" s="11" t="s">
        <v>2379</v>
      </c>
      <c r="C929" s="11" t="s">
        <v>2422</v>
      </c>
      <c r="D929" s="11" t="s">
        <v>2423</v>
      </c>
      <c r="E929" s="11"/>
      <c r="F929" s="11" t="s">
        <v>280</v>
      </c>
      <c r="G929" s="11" t="s">
        <v>261</v>
      </c>
      <c r="H929" s="11" t="s">
        <v>1852</v>
      </c>
    </row>
    <row r="930" spans="1:8" x14ac:dyDescent="0.25">
      <c r="A930" s="11" t="s">
        <v>312</v>
      </c>
      <c r="B930" s="11" t="s">
        <v>2379</v>
      </c>
      <c r="C930" s="11" t="s">
        <v>2424</v>
      </c>
      <c r="D930" s="11" t="s">
        <v>2425</v>
      </c>
      <c r="E930" s="11"/>
      <c r="F930" s="11" t="s">
        <v>280</v>
      </c>
      <c r="G930" s="11" t="s">
        <v>261</v>
      </c>
      <c r="H930" s="11" t="s">
        <v>1852</v>
      </c>
    </row>
    <row r="931" spans="1:8" x14ac:dyDescent="0.25">
      <c r="A931" s="11" t="s">
        <v>312</v>
      </c>
      <c r="B931" s="11" t="s">
        <v>2379</v>
      </c>
      <c r="C931" s="11" t="s">
        <v>2426</v>
      </c>
      <c r="D931" s="11" t="s">
        <v>2427</v>
      </c>
      <c r="E931" s="11"/>
      <c r="F931" s="11" t="s">
        <v>280</v>
      </c>
      <c r="G931" s="11" t="s">
        <v>261</v>
      </c>
      <c r="H931" s="11" t="s">
        <v>1852</v>
      </c>
    </row>
    <row r="932" spans="1:8" x14ac:dyDescent="0.25">
      <c r="A932" s="11" t="s">
        <v>312</v>
      </c>
      <c r="B932" s="11" t="s">
        <v>2379</v>
      </c>
      <c r="C932" s="11" t="s">
        <v>2428</v>
      </c>
      <c r="D932" s="11" t="s">
        <v>2429</v>
      </c>
      <c r="E932" s="11"/>
      <c r="F932" s="11" t="s">
        <v>280</v>
      </c>
      <c r="G932" s="11" t="s">
        <v>261</v>
      </c>
      <c r="H932" s="11" t="s">
        <v>1852</v>
      </c>
    </row>
    <row r="933" spans="1:8" x14ac:dyDescent="0.25">
      <c r="A933" s="11" t="s">
        <v>312</v>
      </c>
      <c r="B933" s="11" t="s">
        <v>2379</v>
      </c>
      <c r="C933" s="11" t="s">
        <v>2430</v>
      </c>
      <c r="D933" s="11" t="s">
        <v>2431</v>
      </c>
      <c r="E933" s="11"/>
      <c r="F933" s="11" t="s">
        <v>280</v>
      </c>
      <c r="G933" s="11" t="s">
        <v>261</v>
      </c>
      <c r="H933" s="11" t="s">
        <v>1852</v>
      </c>
    </row>
    <row r="934" spans="1:8" x14ac:dyDescent="0.25">
      <c r="A934" s="11" t="s">
        <v>312</v>
      </c>
      <c r="B934" s="11" t="s">
        <v>2379</v>
      </c>
      <c r="C934" s="11" t="s">
        <v>2432</v>
      </c>
      <c r="D934" s="11" t="s">
        <v>2433</v>
      </c>
      <c r="E934" s="11"/>
      <c r="F934" s="11" t="s">
        <v>280</v>
      </c>
      <c r="G934" s="11" t="s">
        <v>261</v>
      </c>
      <c r="H934" s="11" t="s">
        <v>1852</v>
      </c>
    </row>
    <row r="935" spans="1:8" x14ac:dyDescent="0.25">
      <c r="A935" s="11" t="s">
        <v>312</v>
      </c>
      <c r="B935" s="11" t="s">
        <v>2379</v>
      </c>
      <c r="C935" s="11" t="s">
        <v>2434</v>
      </c>
      <c r="D935" s="11" t="s">
        <v>2435</v>
      </c>
      <c r="E935" s="11"/>
      <c r="F935" s="11" t="s">
        <v>280</v>
      </c>
      <c r="G935" s="11" t="s">
        <v>261</v>
      </c>
      <c r="H935" s="11" t="s">
        <v>1852</v>
      </c>
    </row>
    <row r="936" spans="1:8" x14ac:dyDescent="0.25">
      <c r="A936" s="11" t="s">
        <v>312</v>
      </c>
      <c r="B936" s="11" t="s">
        <v>2379</v>
      </c>
      <c r="C936" s="11" t="s">
        <v>2436</v>
      </c>
      <c r="D936" s="11" t="s">
        <v>2437</v>
      </c>
      <c r="E936" s="11"/>
      <c r="F936" s="11" t="s">
        <v>280</v>
      </c>
      <c r="G936" s="11" t="s">
        <v>261</v>
      </c>
      <c r="H936" s="11" t="s">
        <v>1852</v>
      </c>
    </row>
    <row r="937" spans="1:8" x14ac:dyDescent="0.25">
      <c r="A937" s="11" t="s">
        <v>312</v>
      </c>
      <c r="B937" s="11" t="s">
        <v>2379</v>
      </c>
      <c r="C937" s="11" t="s">
        <v>2438</v>
      </c>
      <c r="D937" s="11" t="s">
        <v>2439</v>
      </c>
      <c r="E937" s="11"/>
      <c r="F937" s="11" t="s">
        <v>280</v>
      </c>
      <c r="G937" s="11" t="s">
        <v>261</v>
      </c>
      <c r="H937" s="11" t="s">
        <v>1852</v>
      </c>
    </row>
    <row r="938" spans="1:8" x14ac:dyDescent="0.25">
      <c r="A938" s="11" t="s">
        <v>312</v>
      </c>
      <c r="B938" s="11" t="s">
        <v>2379</v>
      </c>
      <c r="C938" s="11" t="s">
        <v>2440</v>
      </c>
      <c r="D938" s="11" t="s">
        <v>2441</v>
      </c>
      <c r="E938" s="11"/>
      <c r="F938" s="11" t="s">
        <v>280</v>
      </c>
      <c r="G938" s="11" t="s">
        <v>261</v>
      </c>
      <c r="H938" s="11" t="s">
        <v>1852</v>
      </c>
    </row>
    <row r="939" spans="1:8" x14ac:dyDescent="0.25">
      <c r="A939" s="11" t="s">
        <v>312</v>
      </c>
      <c r="B939" s="11" t="s">
        <v>2379</v>
      </c>
      <c r="C939" s="11" t="s">
        <v>2442</v>
      </c>
      <c r="D939" s="11" t="s">
        <v>2443</v>
      </c>
      <c r="E939" s="11"/>
      <c r="F939" s="11" t="s">
        <v>280</v>
      </c>
      <c r="G939" s="11" t="s">
        <v>261</v>
      </c>
      <c r="H939" s="11" t="s">
        <v>1852</v>
      </c>
    </row>
    <row r="940" spans="1:8" x14ac:dyDescent="0.25">
      <c r="A940" s="11" t="s">
        <v>312</v>
      </c>
      <c r="B940" s="11" t="s">
        <v>2379</v>
      </c>
      <c r="C940" s="11" t="s">
        <v>2444</v>
      </c>
      <c r="D940" s="11" t="s">
        <v>2445</v>
      </c>
      <c r="E940" s="11"/>
      <c r="F940" s="11" t="s">
        <v>280</v>
      </c>
      <c r="G940" s="11" t="s">
        <v>261</v>
      </c>
      <c r="H940" s="11" t="s">
        <v>1852</v>
      </c>
    </row>
    <row r="941" spans="1:8" x14ac:dyDescent="0.25">
      <c r="A941" s="11" t="s">
        <v>312</v>
      </c>
      <c r="B941" s="11" t="s">
        <v>2379</v>
      </c>
      <c r="C941" s="11" t="s">
        <v>2446</v>
      </c>
      <c r="D941" s="11" t="s">
        <v>2447</v>
      </c>
      <c r="E941" s="11"/>
      <c r="F941" s="11" t="s">
        <v>280</v>
      </c>
      <c r="G941" s="11" t="s">
        <v>261</v>
      </c>
      <c r="H941" s="11" t="s">
        <v>1852</v>
      </c>
    </row>
    <row r="942" spans="1:8" x14ac:dyDescent="0.25">
      <c r="A942" s="11" t="s">
        <v>312</v>
      </c>
      <c r="B942" s="11" t="s">
        <v>2379</v>
      </c>
      <c r="C942" s="11" t="s">
        <v>2448</v>
      </c>
      <c r="D942" s="11" t="s">
        <v>2449</v>
      </c>
      <c r="E942" s="11"/>
      <c r="F942" s="11" t="s">
        <v>280</v>
      </c>
      <c r="G942" s="11" t="s">
        <v>261</v>
      </c>
      <c r="H942" s="11" t="s">
        <v>1852</v>
      </c>
    </row>
    <row r="943" spans="1:8" x14ac:dyDescent="0.25">
      <c r="A943" s="11" t="s">
        <v>317</v>
      </c>
      <c r="B943" s="11" t="s">
        <v>314</v>
      </c>
      <c r="C943" s="11" t="s">
        <v>2450</v>
      </c>
      <c r="D943" s="11" t="s">
        <v>1978</v>
      </c>
      <c r="E943" s="11"/>
      <c r="F943" s="11" t="s">
        <v>280</v>
      </c>
      <c r="G943" s="11" t="s">
        <v>261</v>
      </c>
      <c r="H943" s="11" t="s">
        <v>1852</v>
      </c>
    </row>
    <row r="944" spans="1:8" x14ac:dyDescent="0.25">
      <c r="A944" s="11" t="s">
        <v>317</v>
      </c>
      <c r="B944" s="11" t="s">
        <v>314</v>
      </c>
      <c r="C944" s="11" t="s">
        <v>2451</v>
      </c>
      <c r="D944" s="11" t="s">
        <v>1980</v>
      </c>
      <c r="E944" s="11"/>
      <c r="F944" s="11" t="s">
        <v>280</v>
      </c>
      <c r="G944" s="11" t="s">
        <v>261</v>
      </c>
      <c r="H944" s="11" t="s">
        <v>1852</v>
      </c>
    </row>
    <row r="945" spans="1:8" x14ac:dyDescent="0.25">
      <c r="A945" s="11" t="s">
        <v>317</v>
      </c>
      <c r="B945" s="11" t="s">
        <v>314</v>
      </c>
      <c r="C945" s="11" t="s">
        <v>2452</v>
      </c>
      <c r="D945" s="11" t="s">
        <v>1982</v>
      </c>
      <c r="E945" s="11"/>
      <c r="F945" s="11" t="s">
        <v>280</v>
      </c>
      <c r="G945" s="11" t="s">
        <v>261</v>
      </c>
      <c r="H945" s="11" t="s">
        <v>1852</v>
      </c>
    </row>
    <row r="946" spans="1:8" x14ac:dyDescent="0.25">
      <c r="A946" s="11" t="s">
        <v>317</v>
      </c>
      <c r="B946" s="11" t="s">
        <v>314</v>
      </c>
      <c r="C946" s="11" t="s">
        <v>2453</v>
      </c>
      <c r="D946" s="11" t="s">
        <v>1984</v>
      </c>
      <c r="E946" s="11"/>
      <c r="F946" s="11" t="s">
        <v>280</v>
      </c>
      <c r="G946" s="11" t="s">
        <v>261</v>
      </c>
      <c r="H946" s="11" t="s">
        <v>1852</v>
      </c>
    </row>
    <row r="947" spans="1:8" x14ac:dyDescent="0.25">
      <c r="A947" s="11" t="s">
        <v>317</v>
      </c>
      <c r="B947" s="11" t="s">
        <v>314</v>
      </c>
      <c r="C947" s="11" t="s">
        <v>2454</v>
      </c>
      <c r="D947" s="11" t="s">
        <v>1986</v>
      </c>
      <c r="E947" s="11"/>
      <c r="F947" s="11" t="s">
        <v>280</v>
      </c>
      <c r="G947" s="11" t="s">
        <v>261</v>
      </c>
      <c r="H947" s="11" t="s">
        <v>1852</v>
      </c>
    </row>
    <row r="948" spans="1:8" x14ac:dyDescent="0.25">
      <c r="A948" s="11" t="s">
        <v>317</v>
      </c>
      <c r="B948" s="11" t="s">
        <v>314</v>
      </c>
      <c r="C948" s="11" t="s">
        <v>2455</v>
      </c>
      <c r="D948" s="11" t="s">
        <v>1988</v>
      </c>
      <c r="E948" s="11"/>
      <c r="F948" s="11" t="s">
        <v>280</v>
      </c>
      <c r="G948" s="11" t="s">
        <v>261</v>
      </c>
      <c r="H948" s="11" t="s">
        <v>1852</v>
      </c>
    </row>
    <row r="949" spans="1:8" x14ac:dyDescent="0.25">
      <c r="A949" s="11" t="s">
        <v>317</v>
      </c>
      <c r="B949" s="11" t="s">
        <v>314</v>
      </c>
      <c r="C949" s="11" t="s">
        <v>2456</v>
      </c>
      <c r="D949" s="11" t="s">
        <v>1990</v>
      </c>
      <c r="E949" s="11"/>
      <c r="F949" s="11" t="s">
        <v>280</v>
      </c>
      <c r="G949" s="11" t="s">
        <v>261</v>
      </c>
      <c r="H949" s="11" t="s">
        <v>1852</v>
      </c>
    </row>
    <row r="950" spans="1:8" x14ac:dyDescent="0.25">
      <c r="A950" s="11" t="s">
        <v>317</v>
      </c>
      <c r="B950" s="11" t="s">
        <v>314</v>
      </c>
      <c r="C950" s="11" t="s">
        <v>2457</v>
      </c>
      <c r="D950" s="11" t="s">
        <v>1992</v>
      </c>
      <c r="E950" s="11"/>
      <c r="F950" s="11" t="s">
        <v>280</v>
      </c>
      <c r="G950" s="11" t="s">
        <v>261</v>
      </c>
      <c r="H950" s="11" t="s">
        <v>1852</v>
      </c>
    </row>
    <row r="951" spans="1:8" x14ac:dyDescent="0.25">
      <c r="A951" s="11" t="s">
        <v>317</v>
      </c>
      <c r="B951" s="11" t="s">
        <v>314</v>
      </c>
      <c r="C951" s="11" t="s">
        <v>2458</v>
      </c>
      <c r="D951" s="11" t="s">
        <v>1994</v>
      </c>
      <c r="E951" s="11"/>
      <c r="F951" s="11" t="s">
        <v>280</v>
      </c>
      <c r="G951" s="11" t="s">
        <v>261</v>
      </c>
      <c r="H951" s="11" t="s">
        <v>1852</v>
      </c>
    </row>
    <row r="952" spans="1:8" x14ac:dyDescent="0.25">
      <c r="A952" s="11" t="s">
        <v>317</v>
      </c>
      <c r="B952" s="11" t="s">
        <v>314</v>
      </c>
      <c r="C952" s="11" t="s">
        <v>2459</v>
      </c>
      <c r="D952" s="11" t="s">
        <v>1996</v>
      </c>
      <c r="E952" s="11"/>
      <c r="F952" s="11" t="s">
        <v>280</v>
      </c>
      <c r="G952" s="11" t="s">
        <v>261</v>
      </c>
      <c r="H952" s="11" t="s">
        <v>1852</v>
      </c>
    </row>
    <row r="953" spans="1:8" x14ac:dyDescent="0.25">
      <c r="A953" s="11" t="s">
        <v>319</v>
      </c>
      <c r="B953" s="11" t="s">
        <v>2460</v>
      </c>
      <c r="C953" s="11" t="s">
        <v>2461</v>
      </c>
      <c r="D953" s="11" t="s">
        <v>2462</v>
      </c>
      <c r="E953" s="11"/>
      <c r="F953" s="11" t="s">
        <v>280</v>
      </c>
      <c r="G953" s="11" t="s">
        <v>261</v>
      </c>
      <c r="H953" s="11" t="s">
        <v>1852</v>
      </c>
    </row>
    <row r="954" spans="1:8" x14ac:dyDescent="0.25">
      <c r="A954" s="11" t="s">
        <v>319</v>
      </c>
      <c r="B954" s="11" t="s">
        <v>2460</v>
      </c>
      <c r="C954" s="11" t="s">
        <v>2463</v>
      </c>
      <c r="D954" s="11" t="s">
        <v>2464</v>
      </c>
      <c r="E954" s="11"/>
      <c r="F954" s="11" t="s">
        <v>280</v>
      </c>
      <c r="G954" s="11" t="s">
        <v>261</v>
      </c>
      <c r="H954" s="11" t="s">
        <v>1852</v>
      </c>
    </row>
    <row r="955" spans="1:8" x14ac:dyDescent="0.25">
      <c r="A955" s="11" t="s">
        <v>319</v>
      </c>
      <c r="B955" s="11" t="s">
        <v>2460</v>
      </c>
      <c r="C955" s="11" t="s">
        <v>2465</v>
      </c>
      <c r="D955" s="11" t="s">
        <v>2466</v>
      </c>
      <c r="E955" s="11"/>
      <c r="F955" s="11" t="s">
        <v>280</v>
      </c>
      <c r="G955" s="11" t="s">
        <v>261</v>
      </c>
      <c r="H955" s="11" t="s">
        <v>1852</v>
      </c>
    </row>
    <row r="956" spans="1:8" x14ac:dyDescent="0.25">
      <c r="A956" s="11" t="s">
        <v>319</v>
      </c>
      <c r="B956" s="11" t="s">
        <v>2460</v>
      </c>
      <c r="C956" s="11" t="s">
        <v>2467</v>
      </c>
      <c r="D956" s="11" t="s">
        <v>2468</v>
      </c>
      <c r="E956" s="11"/>
      <c r="F956" s="11" t="s">
        <v>280</v>
      </c>
      <c r="G956" s="11" t="s">
        <v>261</v>
      </c>
      <c r="H956" s="11" t="s">
        <v>1852</v>
      </c>
    </row>
    <row r="957" spans="1:8" x14ac:dyDescent="0.25">
      <c r="A957" s="11" t="s">
        <v>319</v>
      </c>
      <c r="B957" s="11" t="s">
        <v>2460</v>
      </c>
      <c r="C957" s="11" t="s">
        <v>2469</v>
      </c>
      <c r="D957" s="11" t="s">
        <v>2470</v>
      </c>
      <c r="E957" s="11"/>
      <c r="F957" s="11" t="s">
        <v>280</v>
      </c>
      <c r="G957" s="11" t="s">
        <v>261</v>
      </c>
      <c r="H957" s="11" t="s">
        <v>1852</v>
      </c>
    </row>
    <row r="958" spans="1:8" x14ac:dyDescent="0.25">
      <c r="A958" s="11" t="s">
        <v>319</v>
      </c>
      <c r="B958" s="11" t="s">
        <v>2460</v>
      </c>
      <c r="C958" s="11" t="s">
        <v>2471</v>
      </c>
      <c r="D958" s="11" t="s">
        <v>2472</v>
      </c>
      <c r="E958" s="11"/>
      <c r="F958" s="11" t="s">
        <v>280</v>
      </c>
      <c r="G958" s="11" t="s">
        <v>261</v>
      </c>
      <c r="H958" s="11" t="s">
        <v>1852</v>
      </c>
    </row>
    <row r="959" spans="1:8" x14ac:dyDescent="0.25">
      <c r="A959" s="11" t="s">
        <v>319</v>
      </c>
      <c r="B959" s="11" t="s">
        <v>2460</v>
      </c>
      <c r="C959" s="11" t="s">
        <v>2473</v>
      </c>
      <c r="D959" s="11" t="s">
        <v>2474</v>
      </c>
      <c r="E959" s="11"/>
      <c r="F959" s="11" t="s">
        <v>280</v>
      </c>
      <c r="G959" s="11" t="s">
        <v>261</v>
      </c>
      <c r="H959" s="11" t="s">
        <v>1852</v>
      </c>
    </row>
    <row r="960" spans="1:8" x14ac:dyDescent="0.25">
      <c r="A960" s="11" t="s">
        <v>319</v>
      </c>
      <c r="B960" s="11" t="s">
        <v>2460</v>
      </c>
      <c r="C960" s="11" t="s">
        <v>2475</v>
      </c>
      <c r="D960" s="11" t="s">
        <v>2476</v>
      </c>
      <c r="E960" s="11"/>
      <c r="F960" s="11" t="s">
        <v>280</v>
      </c>
      <c r="G960" s="11" t="s">
        <v>261</v>
      </c>
      <c r="H960" s="11" t="s">
        <v>1852</v>
      </c>
    </row>
    <row r="961" spans="1:8" x14ac:dyDescent="0.25">
      <c r="A961" s="11" t="s">
        <v>319</v>
      </c>
      <c r="B961" s="11" t="s">
        <v>2460</v>
      </c>
      <c r="C961" s="11" t="s">
        <v>2477</v>
      </c>
      <c r="D961" s="11" t="s">
        <v>2478</v>
      </c>
      <c r="E961" s="11"/>
      <c r="F961" s="11" t="s">
        <v>280</v>
      </c>
      <c r="G961" s="11" t="s">
        <v>261</v>
      </c>
      <c r="H961" s="11" t="s">
        <v>1852</v>
      </c>
    </row>
    <row r="962" spans="1:8" x14ac:dyDescent="0.25">
      <c r="A962" s="11" t="s">
        <v>319</v>
      </c>
      <c r="B962" s="11" t="s">
        <v>2460</v>
      </c>
      <c r="C962" s="11" t="s">
        <v>2479</v>
      </c>
      <c r="D962" s="11" t="s">
        <v>2480</v>
      </c>
      <c r="E962" s="11"/>
      <c r="F962" s="11" t="s">
        <v>280</v>
      </c>
      <c r="G962" s="11" t="s">
        <v>261</v>
      </c>
      <c r="H962" s="11" t="s">
        <v>1852</v>
      </c>
    </row>
    <row r="963" spans="1:8" x14ac:dyDescent="0.25">
      <c r="A963" s="11" t="s">
        <v>319</v>
      </c>
      <c r="B963" s="11" t="s">
        <v>2460</v>
      </c>
      <c r="C963" s="11" t="s">
        <v>2481</v>
      </c>
      <c r="D963" s="11" t="s">
        <v>2482</v>
      </c>
      <c r="E963" s="11"/>
      <c r="F963" s="11" t="s">
        <v>280</v>
      </c>
      <c r="G963" s="11" t="s">
        <v>261</v>
      </c>
      <c r="H963" s="11" t="s">
        <v>1852</v>
      </c>
    </row>
    <row r="964" spans="1:8" x14ac:dyDescent="0.25">
      <c r="A964" s="11" t="s">
        <v>319</v>
      </c>
      <c r="B964" s="11" t="s">
        <v>2460</v>
      </c>
      <c r="C964" s="11" t="s">
        <v>2483</v>
      </c>
      <c r="D964" s="11" t="s">
        <v>2484</v>
      </c>
      <c r="E964" s="11"/>
      <c r="F964" s="11" t="s">
        <v>280</v>
      </c>
      <c r="G964" s="11" t="s">
        <v>261</v>
      </c>
      <c r="H964" s="11" t="s">
        <v>1852</v>
      </c>
    </row>
    <row r="965" spans="1:8" x14ac:dyDescent="0.25">
      <c r="A965" s="11" t="s">
        <v>319</v>
      </c>
      <c r="B965" s="11" t="s">
        <v>2460</v>
      </c>
      <c r="C965" s="11" t="s">
        <v>2485</v>
      </c>
      <c r="D965" s="11" t="s">
        <v>2486</v>
      </c>
      <c r="E965" s="11"/>
      <c r="F965" s="11" t="s">
        <v>280</v>
      </c>
      <c r="G965" s="11" t="s">
        <v>261</v>
      </c>
      <c r="H965" s="11" t="s">
        <v>1852</v>
      </c>
    </row>
    <row r="966" spans="1:8" x14ac:dyDescent="0.25">
      <c r="A966" s="11" t="s">
        <v>319</v>
      </c>
      <c r="B966" s="11" t="s">
        <v>2460</v>
      </c>
      <c r="C966" s="11" t="s">
        <v>2487</v>
      </c>
      <c r="D966" s="11" t="s">
        <v>2488</v>
      </c>
      <c r="E966" s="11"/>
      <c r="F966" s="11" t="s">
        <v>280</v>
      </c>
      <c r="G966" s="11" t="s">
        <v>261</v>
      </c>
      <c r="H966" s="11" t="s">
        <v>1852</v>
      </c>
    </row>
    <row r="967" spans="1:8" x14ac:dyDescent="0.25">
      <c r="A967" s="11" t="s">
        <v>319</v>
      </c>
      <c r="B967" s="11" t="s">
        <v>2460</v>
      </c>
      <c r="C967" s="11" t="s">
        <v>2489</v>
      </c>
      <c r="D967" s="11" t="s">
        <v>2490</v>
      </c>
      <c r="E967" s="11"/>
      <c r="F967" s="11" t="s">
        <v>280</v>
      </c>
      <c r="G967" s="11" t="s">
        <v>261</v>
      </c>
      <c r="H967" s="11" t="s">
        <v>1852</v>
      </c>
    </row>
    <row r="968" spans="1:8" x14ac:dyDescent="0.25">
      <c r="A968" s="11" t="s">
        <v>319</v>
      </c>
      <c r="B968" s="11" t="s">
        <v>2460</v>
      </c>
      <c r="C968" s="11" t="s">
        <v>2491</v>
      </c>
      <c r="D968" s="11" t="s">
        <v>2492</v>
      </c>
      <c r="E968" s="11"/>
      <c r="F968" s="11" t="s">
        <v>280</v>
      </c>
      <c r="G968" s="11" t="s">
        <v>261</v>
      </c>
      <c r="H968" s="11" t="s">
        <v>1852</v>
      </c>
    </row>
    <row r="969" spans="1:8" x14ac:dyDescent="0.25">
      <c r="A969" s="11" t="s">
        <v>319</v>
      </c>
      <c r="B969" s="11" t="s">
        <v>2460</v>
      </c>
      <c r="C969" s="11" t="s">
        <v>2493</v>
      </c>
      <c r="D969" s="11" t="s">
        <v>2494</v>
      </c>
      <c r="E969" s="11"/>
      <c r="F969" s="11" t="s">
        <v>280</v>
      </c>
      <c r="G969" s="11" t="s">
        <v>261</v>
      </c>
      <c r="H969" s="11" t="s">
        <v>1852</v>
      </c>
    </row>
    <row r="970" spans="1:8" x14ac:dyDescent="0.25">
      <c r="A970" s="11" t="s">
        <v>319</v>
      </c>
      <c r="B970" s="11" t="s">
        <v>2460</v>
      </c>
      <c r="C970" s="11" t="s">
        <v>2495</v>
      </c>
      <c r="D970" s="11" t="s">
        <v>2496</v>
      </c>
      <c r="E970" s="11"/>
      <c r="F970" s="11" t="s">
        <v>280</v>
      </c>
      <c r="G970" s="11" t="s">
        <v>261</v>
      </c>
      <c r="H970" s="11" t="s">
        <v>1852</v>
      </c>
    </row>
    <row r="971" spans="1:8" x14ac:dyDescent="0.25">
      <c r="A971" s="11" t="s">
        <v>319</v>
      </c>
      <c r="B971" s="11" t="s">
        <v>2460</v>
      </c>
      <c r="C971" s="11" t="s">
        <v>2497</v>
      </c>
      <c r="D971" s="11" t="s">
        <v>2498</v>
      </c>
      <c r="E971" s="11"/>
      <c r="F971" s="11" t="s">
        <v>280</v>
      </c>
      <c r="G971" s="11" t="s">
        <v>261</v>
      </c>
      <c r="H971" s="11" t="s">
        <v>1852</v>
      </c>
    </row>
    <row r="972" spans="1:8" x14ac:dyDescent="0.25">
      <c r="A972" s="11" t="s">
        <v>319</v>
      </c>
      <c r="B972" s="11" t="s">
        <v>2460</v>
      </c>
      <c r="C972" s="11" t="s">
        <v>2499</v>
      </c>
      <c r="D972" s="11" t="s">
        <v>2500</v>
      </c>
      <c r="E972" s="11"/>
      <c r="F972" s="11" t="s">
        <v>280</v>
      </c>
      <c r="G972" s="11" t="s">
        <v>261</v>
      </c>
      <c r="H972" s="11" t="s">
        <v>1852</v>
      </c>
    </row>
    <row r="973" spans="1:8" x14ac:dyDescent="0.25">
      <c r="A973" s="11" t="s">
        <v>319</v>
      </c>
      <c r="B973" s="11" t="s">
        <v>2460</v>
      </c>
      <c r="C973" s="11" t="s">
        <v>2501</v>
      </c>
      <c r="D973" s="11" t="s">
        <v>2502</v>
      </c>
      <c r="E973" s="11"/>
      <c r="F973" s="11" t="s">
        <v>280</v>
      </c>
      <c r="G973" s="11" t="s">
        <v>261</v>
      </c>
      <c r="H973" s="11" t="s">
        <v>1852</v>
      </c>
    </row>
    <row r="974" spans="1:8" x14ac:dyDescent="0.25">
      <c r="A974" s="11" t="s">
        <v>319</v>
      </c>
      <c r="B974" s="11" t="s">
        <v>2460</v>
      </c>
      <c r="C974" s="11" t="s">
        <v>2503</v>
      </c>
      <c r="D974" s="11" t="s">
        <v>2504</v>
      </c>
      <c r="E974" s="11"/>
      <c r="F974" s="11" t="s">
        <v>280</v>
      </c>
      <c r="G974" s="11" t="s">
        <v>261</v>
      </c>
      <c r="H974" s="11" t="s">
        <v>1852</v>
      </c>
    </row>
    <row r="975" spans="1:8" x14ac:dyDescent="0.25">
      <c r="A975" s="11" t="s">
        <v>319</v>
      </c>
      <c r="B975" s="11" t="s">
        <v>2460</v>
      </c>
      <c r="C975" s="11" t="s">
        <v>2505</v>
      </c>
      <c r="D975" s="11" t="s">
        <v>2506</v>
      </c>
      <c r="E975" s="11"/>
      <c r="F975" s="11" t="s">
        <v>280</v>
      </c>
      <c r="G975" s="11" t="s">
        <v>261</v>
      </c>
      <c r="H975" s="11" t="s">
        <v>1852</v>
      </c>
    </row>
    <row r="976" spans="1:8" x14ac:dyDescent="0.25">
      <c r="A976" s="11" t="s">
        <v>319</v>
      </c>
      <c r="B976" s="11" t="s">
        <v>2460</v>
      </c>
      <c r="C976" s="11" t="s">
        <v>2507</v>
      </c>
      <c r="D976" s="11" t="s">
        <v>2508</v>
      </c>
      <c r="E976" s="11"/>
      <c r="F976" s="11" t="s">
        <v>280</v>
      </c>
      <c r="G976" s="11" t="s">
        <v>261</v>
      </c>
      <c r="H976" s="11" t="s">
        <v>1852</v>
      </c>
    </row>
    <row r="977" spans="1:8" x14ac:dyDescent="0.25">
      <c r="A977" s="11" t="s">
        <v>319</v>
      </c>
      <c r="B977" s="11" t="s">
        <v>2460</v>
      </c>
      <c r="C977" s="11" t="s">
        <v>2509</v>
      </c>
      <c r="D977" s="11" t="s">
        <v>2510</v>
      </c>
      <c r="E977" s="11"/>
      <c r="F977" s="11" t="s">
        <v>280</v>
      </c>
      <c r="G977" s="11" t="s">
        <v>261</v>
      </c>
      <c r="H977" s="11" t="s">
        <v>1852</v>
      </c>
    </row>
    <row r="978" spans="1:8" x14ac:dyDescent="0.25">
      <c r="A978" s="11" t="s">
        <v>319</v>
      </c>
      <c r="B978" s="11" t="s">
        <v>2460</v>
      </c>
      <c r="C978" s="11" t="s">
        <v>2511</v>
      </c>
      <c r="D978" s="11" t="s">
        <v>2512</v>
      </c>
      <c r="E978" s="11"/>
      <c r="F978" s="11" t="s">
        <v>280</v>
      </c>
      <c r="G978" s="11" t="s">
        <v>261</v>
      </c>
      <c r="H978" s="11" t="s">
        <v>1852</v>
      </c>
    </row>
    <row r="979" spans="1:8" x14ac:dyDescent="0.25">
      <c r="A979" s="11" t="s">
        <v>319</v>
      </c>
      <c r="B979" s="11" t="s">
        <v>2460</v>
      </c>
      <c r="C979" s="11" t="s">
        <v>2513</v>
      </c>
      <c r="D979" s="11" t="s">
        <v>2514</v>
      </c>
      <c r="E979" s="11"/>
      <c r="F979" s="11" t="s">
        <v>280</v>
      </c>
      <c r="G979" s="11" t="s">
        <v>261</v>
      </c>
      <c r="H979" s="11" t="s">
        <v>1852</v>
      </c>
    </row>
    <row r="980" spans="1:8" x14ac:dyDescent="0.25">
      <c r="A980" s="11" t="s">
        <v>319</v>
      </c>
      <c r="B980" s="11" t="s">
        <v>2460</v>
      </c>
      <c r="C980" s="11" t="s">
        <v>2515</v>
      </c>
      <c r="D980" s="11" t="s">
        <v>2516</v>
      </c>
      <c r="E980" s="11"/>
      <c r="F980" s="11" t="s">
        <v>280</v>
      </c>
      <c r="G980" s="11" t="s">
        <v>261</v>
      </c>
      <c r="H980" s="11" t="s">
        <v>1852</v>
      </c>
    </row>
    <row r="981" spans="1:8" x14ac:dyDescent="0.25">
      <c r="A981" s="11" t="s">
        <v>319</v>
      </c>
      <c r="B981" s="11" t="s">
        <v>2460</v>
      </c>
      <c r="C981" s="11" t="s">
        <v>2517</v>
      </c>
      <c r="D981" s="11" t="s">
        <v>2518</v>
      </c>
      <c r="E981" s="11"/>
      <c r="F981" s="11" t="s">
        <v>280</v>
      </c>
      <c r="G981" s="11" t="s">
        <v>261</v>
      </c>
      <c r="H981" s="11" t="s">
        <v>1852</v>
      </c>
    </row>
    <row r="982" spans="1:8" x14ac:dyDescent="0.25">
      <c r="A982" s="11" t="s">
        <v>319</v>
      </c>
      <c r="B982" s="11" t="s">
        <v>2460</v>
      </c>
      <c r="C982" s="11" t="s">
        <v>2519</v>
      </c>
      <c r="D982" s="11" t="s">
        <v>2520</v>
      </c>
      <c r="E982" s="11"/>
      <c r="F982" s="11" t="s">
        <v>280</v>
      </c>
      <c r="G982" s="11" t="s">
        <v>261</v>
      </c>
      <c r="H982" s="11" t="s">
        <v>1852</v>
      </c>
    </row>
    <row r="983" spans="1:8" x14ac:dyDescent="0.25">
      <c r="A983" s="11" t="s">
        <v>319</v>
      </c>
      <c r="B983" s="11" t="s">
        <v>2460</v>
      </c>
      <c r="C983" s="11" t="s">
        <v>2521</v>
      </c>
      <c r="D983" s="11" t="s">
        <v>2522</v>
      </c>
      <c r="E983" s="11"/>
      <c r="F983" s="11" t="s">
        <v>280</v>
      </c>
      <c r="G983" s="11" t="s">
        <v>261</v>
      </c>
      <c r="H983" s="11" t="s">
        <v>1852</v>
      </c>
    </row>
    <row r="984" spans="1:8" x14ac:dyDescent="0.25">
      <c r="A984" s="11" t="s">
        <v>319</v>
      </c>
      <c r="B984" s="11" t="s">
        <v>2460</v>
      </c>
      <c r="C984" s="11" t="s">
        <v>2523</v>
      </c>
      <c r="D984" s="11" t="s">
        <v>2524</v>
      </c>
      <c r="E984" s="11"/>
      <c r="F984" s="11" t="s">
        <v>280</v>
      </c>
      <c r="G984" s="11" t="s">
        <v>261</v>
      </c>
      <c r="H984" s="11" t="s">
        <v>1852</v>
      </c>
    </row>
    <row r="985" spans="1:8" x14ac:dyDescent="0.25">
      <c r="A985" s="11" t="s">
        <v>319</v>
      </c>
      <c r="B985" s="11" t="s">
        <v>2460</v>
      </c>
      <c r="C985" s="11" t="s">
        <v>2525</v>
      </c>
      <c r="D985" s="11" t="s">
        <v>2526</v>
      </c>
      <c r="E985" s="11"/>
      <c r="F985" s="11" t="s">
        <v>280</v>
      </c>
      <c r="G985" s="11" t="s">
        <v>261</v>
      </c>
      <c r="H985" s="11" t="s">
        <v>1852</v>
      </c>
    </row>
    <row r="986" spans="1:8" x14ac:dyDescent="0.25">
      <c r="A986" s="11" t="s">
        <v>319</v>
      </c>
      <c r="B986" s="11" t="s">
        <v>2460</v>
      </c>
      <c r="C986" s="11" t="s">
        <v>2527</v>
      </c>
      <c r="D986" s="11" t="s">
        <v>2528</v>
      </c>
      <c r="E986" s="11"/>
      <c r="F986" s="11" t="s">
        <v>280</v>
      </c>
      <c r="G986" s="11" t="s">
        <v>261</v>
      </c>
      <c r="H986" s="11" t="s">
        <v>1852</v>
      </c>
    </row>
    <row r="987" spans="1:8" x14ac:dyDescent="0.25">
      <c r="A987" s="11" t="s">
        <v>319</v>
      </c>
      <c r="B987" s="11" t="s">
        <v>2460</v>
      </c>
      <c r="C987" s="11" t="s">
        <v>2529</v>
      </c>
      <c r="D987" s="11" t="s">
        <v>2530</v>
      </c>
      <c r="E987" s="11"/>
      <c r="F987" s="11" t="s">
        <v>280</v>
      </c>
      <c r="G987" s="11" t="s">
        <v>261</v>
      </c>
      <c r="H987" s="11" t="s">
        <v>1852</v>
      </c>
    </row>
    <row r="988" spans="1:8" x14ac:dyDescent="0.25">
      <c r="A988" s="11" t="s">
        <v>319</v>
      </c>
      <c r="B988" s="11" t="s">
        <v>2460</v>
      </c>
      <c r="C988" s="11" t="s">
        <v>2531</v>
      </c>
      <c r="D988" s="11" t="s">
        <v>2532</v>
      </c>
      <c r="E988" s="11"/>
      <c r="F988" s="11" t="s">
        <v>280</v>
      </c>
      <c r="G988" s="11" t="s">
        <v>261</v>
      </c>
      <c r="H988" s="11" t="s">
        <v>1852</v>
      </c>
    </row>
    <row r="989" spans="1:8" x14ac:dyDescent="0.25">
      <c r="A989" s="11" t="s">
        <v>319</v>
      </c>
      <c r="B989" s="11" t="s">
        <v>2460</v>
      </c>
      <c r="C989" s="11" t="s">
        <v>2533</v>
      </c>
      <c r="D989" s="11" t="s">
        <v>2534</v>
      </c>
      <c r="E989" s="11"/>
      <c r="F989" s="11" t="s">
        <v>280</v>
      </c>
      <c r="G989" s="11" t="s">
        <v>261</v>
      </c>
      <c r="H989" s="11" t="s">
        <v>1852</v>
      </c>
    </row>
    <row r="990" spans="1:8" x14ac:dyDescent="0.25">
      <c r="A990" s="11" t="s">
        <v>319</v>
      </c>
      <c r="B990" s="11" t="s">
        <v>2460</v>
      </c>
      <c r="C990" s="11" t="s">
        <v>2535</v>
      </c>
      <c r="D990" s="11" t="s">
        <v>2536</v>
      </c>
      <c r="E990" s="11"/>
      <c r="F990" s="11" t="s">
        <v>280</v>
      </c>
      <c r="G990" s="11" t="s">
        <v>261</v>
      </c>
      <c r="H990" s="11" t="s">
        <v>1852</v>
      </c>
    </row>
    <row r="991" spans="1:8" x14ac:dyDescent="0.25">
      <c r="A991" s="11" t="s">
        <v>319</v>
      </c>
      <c r="B991" s="11" t="s">
        <v>2460</v>
      </c>
      <c r="C991" s="11" t="s">
        <v>2537</v>
      </c>
      <c r="D991" s="11" t="s">
        <v>2538</v>
      </c>
      <c r="E991" s="11"/>
      <c r="F991" s="11" t="s">
        <v>280</v>
      </c>
      <c r="G991" s="11" t="s">
        <v>261</v>
      </c>
      <c r="H991" s="11" t="s">
        <v>1852</v>
      </c>
    </row>
    <row r="992" spans="1:8" x14ac:dyDescent="0.25">
      <c r="A992" s="11" t="s">
        <v>319</v>
      </c>
      <c r="B992" s="11" t="s">
        <v>2460</v>
      </c>
      <c r="C992" s="11" t="s">
        <v>2539</v>
      </c>
      <c r="D992" s="11" t="s">
        <v>2540</v>
      </c>
      <c r="E992" s="11"/>
      <c r="F992" s="11" t="s">
        <v>280</v>
      </c>
      <c r="G992" s="11" t="s">
        <v>261</v>
      </c>
      <c r="H992" s="11" t="s">
        <v>1852</v>
      </c>
    </row>
    <row r="993" spans="1:8" x14ac:dyDescent="0.25">
      <c r="A993" s="11" t="s">
        <v>319</v>
      </c>
      <c r="B993" s="11" t="s">
        <v>2460</v>
      </c>
      <c r="C993" s="11" t="s">
        <v>2541</v>
      </c>
      <c r="D993" s="11" t="s">
        <v>2542</v>
      </c>
      <c r="E993" s="11"/>
      <c r="F993" s="11" t="s">
        <v>280</v>
      </c>
      <c r="G993" s="11" t="s">
        <v>261</v>
      </c>
      <c r="H993" s="11" t="s">
        <v>1852</v>
      </c>
    </row>
    <row r="994" spans="1:8" x14ac:dyDescent="0.25">
      <c r="A994" s="11" t="s">
        <v>319</v>
      </c>
      <c r="B994" s="11" t="s">
        <v>2460</v>
      </c>
      <c r="C994" s="11" t="s">
        <v>2543</v>
      </c>
      <c r="D994" s="11" t="s">
        <v>2544</v>
      </c>
      <c r="E994" s="11"/>
      <c r="F994" s="11" t="s">
        <v>280</v>
      </c>
      <c r="G994" s="11" t="s">
        <v>261</v>
      </c>
      <c r="H994" s="11" t="s">
        <v>1852</v>
      </c>
    </row>
    <row r="995" spans="1:8" x14ac:dyDescent="0.25">
      <c r="A995" s="11" t="s">
        <v>319</v>
      </c>
      <c r="B995" s="11" t="s">
        <v>2460</v>
      </c>
      <c r="C995" s="11" t="s">
        <v>2545</v>
      </c>
      <c r="D995" s="11" t="s">
        <v>2546</v>
      </c>
      <c r="E995" s="11"/>
      <c r="F995" s="11" t="s">
        <v>280</v>
      </c>
      <c r="G995" s="11" t="s">
        <v>261</v>
      </c>
      <c r="H995" s="11" t="s">
        <v>1852</v>
      </c>
    </row>
    <row r="996" spans="1:8" x14ac:dyDescent="0.25">
      <c r="A996" s="11" t="s">
        <v>319</v>
      </c>
      <c r="B996" s="11" t="s">
        <v>2460</v>
      </c>
      <c r="C996" s="11" t="s">
        <v>2547</v>
      </c>
      <c r="D996" s="11" t="s">
        <v>2548</v>
      </c>
      <c r="E996" s="11"/>
      <c r="F996" s="11" t="s">
        <v>280</v>
      </c>
      <c r="G996" s="11" t="s">
        <v>261</v>
      </c>
      <c r="H996" s="11" t="s">
        <v>1852</v>
      </c>
    </row>
    <row r="997" spans="1:8" x14ac:dyDescent="0.25">
      <c r="A997" s="11" t="s">
        <v>319</v>
      </c>
      <c r="B997" s="11" t="s">
        <v>2460</v>
      </c>
      <c r="C997" s="11" t="s">
        <v>2549</v>
      </c>
      <c r="D997" s="11" t="s">
        <v>2550</v>
      </c>
      <c r="E997" s="11"/>
      <c r="F997" s="11" t="s">
        <v>280</v>
      </c>
      <c r="G997" s="11" t="s">
        <v>261</v>
      </c>
      <c r="H997" s="11" t="s">
        <v>1852</v>
      </c>
    </row>
    <row r="998" spans="1:8" x14ac:dyDescent="0.25">
      <c r="A998" s="11" t="s">
        <v>319</v>
      </c>
      <c r="B998" s="11" t="s">
        <v>2460</v>
      </c>
      <c r="C998" s="11" t="s">
        <v>2551</v>
      </c>
      <c r="D998" s="11" t="s">
        <v>2552</v>
      </c>
      <c r="E998" s="11"/>
      <c r="F998" s="11" t="s">
        <v>280</v>
      </c>
      <c r="G998" s="11" t="s">
        <v>261</v>
      </c>
      <c r="H998" s="11" t="s">
        <v>1852</v>
      </c>
    </row>
    <row r="999" spans="1:8" x14ac:dyDescent="0.25">
      <c r="A999" s="11" t="s">
        <v>319</v>
      </c>
      <c r="B999" s="11" t="s">
        <v>2460</v>
      </c>
      <c r="C999" s="11" t="s">
        <v>2553</v>
      </c>
      <c r="D999" s="11" t="s">
        <v>2554</v>
      </c>
      <c r="E999" s="11"/>
      <c r="F999" s="11" t="s">
        <v>280</v>
      </c>
      <c r="G999" s="11" t="s">
        <v>261</v>
      </c>
      <c r="H999" s="11" t="s">
        <v>1852</v>
      </c>
    </row>
    <row r="1000" spans="1:8" x14ac:dyDescent="0.25">
      <c r="A1000" s="11" t="s">
        <v>319</v>
      </c>
      <c r="B1000" s="11" t="s">
        <v>2460</v>
      </c>
      <c r="C1000" s="11" t="s">
        <v>2555</v>
      </c>
      <c r="D1000" s="11" t="s">
        <v>2556</v>
      </c>
      <c r="E1000" s="11"/>
      <c r="F1000" s="11" t="s">
        <v>280</v>
      </c>
      <c r="G1000" s="11" t="s">
        <v>261</v>
      </c>
      <c r="H1000" s="11" t="s">
        <v>1852</v>
      </c>
    </row>
    <row r="1001" spans="1:8" x14ac:dyDescent="0.25">
      <c r="A1001" s="11" t="s">
        <v>319</v>
      </c>
      <c r="B1001" s="11" t="s">
        <v>2460</v>
      </c>
      <c r="C1001" s="11" t="s">
        <v>2557</v>
      </c>
      <c r="D1001" s="11" t="s">
        <v>2558</v>
      </c>
      <c r="E1001" s="11"/>
      <c r="F1001" s="11" t="s">
        <v>280</v>
      </c>
      <c r="G1001" s="11" t="s">
        <v>261</v>
      </c>
      <c r="H1001" s="11" t="s">
        <v>1852</v>
      </c>
    </row>
    <row r="1002" spans="1:8" x14ac:dyDescent="0.25">
      <c r="A1002" s="11" t="s">
        <v>319</v>
      </c>
      <c r="B1002" s="11" t="s">
        <v>2460</v>
      </c>
      <c r="C1002" s="11" t="s">
        <v>2559</v>
      </c>
      <c r="D1002" s="11" t="s">
        <v>2560</v>
      </c>
      <c r="E1002" s="11"/>
      <c r="F1002" s="11" t="s">
        <v>280</v>
      </c>
      <c r="G1002" s="11" t="s">
        <v>261</v>
      </c>
      <c r="H1002" s="11" t="s">
        <v>1852</v>
      </c>
    </row>
    <row r="1003" spans="1:8" x14ac:dyDescent="0.25">
      <c r="A1003" s="11" t="s">
        <v>319</v>
      </c>
      <c r="B1003" s="11" t="s">
        <v>2460</v>
      </c>
      <c r="C1003" s="11" t="s">
        <v>2561</v>
      </c>
      <c r="D1003" s="11" t="s">
        <v>2562</v>
      </c>
      <c r="E1003" s="11"/>
      <c r="F1003" s="11" t="s">
        <v>280</v>
      </c>
      <c r="G1003" s="11" t="s">
        <v>261</v>
      </c>
      <c r="H1003" s="11" t="s">
        <v>1852</v>
      </c>
    </row>
    <row r="1004" spans="1:8" x14ac:dyDescent="0.25">
      <c r="A1004" s="11" t="s">
        <v>319</v>
      </c>
      <c r="B1004" s="11" t="s">
        <v>2460</v>
      </c>
      <c r="C1004" s="11" t="s">
        <v>2563</v>
      </c>
      <c r="D1004" s="11" t="s">
        <v>2564</v>
      </c>
      <c r="E1004" s="11"/>
      <c r="F1004" s="11" t="s">
        <v>280</v>
      </c>
      <c r="G1004" s="11" t="s">
        <v>261</v>
      </c>
      <c r="H1004" s="11" t="s">
        <v>1852</v>
      </c>
    </row>
    <row r="1005" spans="1:8" x14ac:dyDescent="0.25">
      <c r="A1005" s="11" t="s">
        <v>319</v>
      </c>
      <c r="B1005" s="11" t="s">
        <v>2460</v>
      </c>
      <c r="C1005" s="11" t="s">
        <v>2565</v>
      </c>
      <c r="D1005" s="11" t="s">
        <v>2566</v>
      </c>
      <c r="E1005" s="11"/>
      <c r="F1005" s="11" t="s">
        <v>280</v>
      </c>
      <c r="G1005" s="11" t="s">
        <v>261</v>
      </c>
      <c r="H1005" s="11" t="s">
        <v>1852</v>
      </c>
    </row>
    <row r="1006" spans="1:8" x14ac:dyDescent="0.25">
      <c r="A1006" s="11" t="s">
        <v>319</v>
      </c>
      <c r="B1006" s="11" t="s">
        <v>2460</v>
      </c>
      <c r="C1006" s="11" t="s">
        <v>2567</v>
      </c>
      <c r="D1006" s="11" t="s">
        <v>2568</v>
      </c>
      <c r="E1006" s="11"/>
      <c r="F1006" s="11" t="s">
        <v>280</v>
      </c>
      <c r="G1006" s="11" t="s">
        <v>261</v>
      </c>
      <c r="H1006" s="11" t="s">
        <v>1852</v>
      </c>
    </row>
    <row r="1007" spans="1:8" x14ac:dyDescent="0.25">
      <c r="A1007" s="11" t="s">
        <v>319</v>
      </c>
      <c r="B1007" s="11" t="s">
        <v>2460</v>
      </c>
      <c r="C1007" s="11" t="s">
        <v>2569</v>
      </c>
      <c r="D1007" s="11" t="s">
        <v>2570</v>
      </c>
      <c r="E1007" s="11"/>
      <c r="F1007" s="11" t="s">
        <v>280</v>
      </c>
      <c r="G1007" s="11" t="s">
        <v>261</v>
      </c>
      <c r="H1007" s="11" t="s">
        <v>1852</v>
      </c>
    </row>
    <row r="1008" spans="1:8" x14ac:dyDescent="0.25">
      <c r="A1008" s="11" t="s">
        <v>319</v>
      </c>
      <c r="B1008" s="11" t="s">
        <v>2460</v>
      </c>
      <c r="C1008" s="11" t="s">
        <v>2571</v>
      </c>
      <c r="D1008" s="11" t="s">
        <v>2572</v>
      </c>
      <c r="E1008" s="11"/>
      <c r="F1008" s="11" t="s">
        <v>280</v>
      </c>
      <c r="G1008" s="11" t="s">
        <v>261</v>
      </c>
      <c r="H1008" s="11" t="s">
        <v>1852</v>
      </c>
    </row>
    <row r="1009" spans="1:8" x14ac:dyDescent="0.25">
      <c r="A1009" s="11" t="s">
        <v>319</v>
      </c>
      <c r="B1009" s="11" t="s">
        <v>2460</v>
      </c>
      <c r="C1009" s="11" t="s">
        <v>2573</v>
      </c>
      <c r="D1009" s="11" t="s">
        <v>2574</v>
      </c>
      <c r="E1009" s="11"/>
      <c r="F1009" s="11" t="s">
        <v>280</v>
      </c>
      <c r="G1009" s="11" t="s">
        <v>261</v>
      </c>
      <c r="H1009" s="11" t="s">
        <v>1852</v>
      </c>
    </row>
    <row r="1010" spans="1:8" x14ac:dyDescent="0.25">
      <c r="A1010" s="11" t="s">
        <v>319</v>
      </c>
      <c r="B1010" s="11" t="s">
        <v>2460</v>
      </c>
      <c r="C1010" s="11" t="s">
        <v>2575</v>
      </c>
      <c r="D1010" s="11" t="s">
        <v>2576</v>
      </c>
      <c r="E1010" s="11"/>
      <c r="F1010" s="11" t="s">
        <v>280</v>
      </c>
      <c r="G1010" s="11" t="s">
        <v>261</v>
      </c>
      <c r="H1010" s="11" t="s">
        <v>1852</v>
      </c>
    </row>
    <row r="1011" spans="1:8" x14ac:dyDescent="0.25">
      <c r="A1011" s="11" t="s">
        <v>319</v>
      </c>
      <c r="B1011" s="11" t="s">
        <v>2460</v>
      </c>
      <c r="C1011" s="11" t="s">
        <v>2577</v>
      </c>
      <c r="D1011" s="11" t="s">
        <v>2578</v>
      </c>
      <c r="E1011" s="11"/>
      <c r="F1011" s="11" t="s">
        <v>280</v>
      </c>
      <c r="G1011" s="11" t="s">
        <v>261</v>
      </c>
      <c r="H1011" s="11" t="s">
        <v>1852</v>
      </c>
    </row>
    <row r="1012" spans="1:8" x14ac:dyDescent="0.25">
      <c r="A1012" s="11" t="s">
        <v>319</v>
      </c>
      <c r="B1012" s="11" t="s">
        <v>2460</v>
      </c>
      <c r="C1012" s="11" t="s">
        <v>2579</v>
      </c>
      <c r="D1012" s="11" t="s">
        <v>2580</v>
      </c>
      <c r="E1012" s="11"/>
      <c r="F1012" s="11" t="s">
        <v>280</v>
      </c>
      <c r="G1012" s="11" t="s">
        <v>261</v>
      </c>
      <c r="H1012" s="11" t="s">
        <v>1852</v>
      </c>
    </row>
    <row r="1013" spans="1:8" x14ac:dyDescent="0.25">
      <c r="A1013" s="11" t="s">
        <v>319</v>
      </c>
      <c r="B1013" s="11" t="s">
        <v>2460</v>
      </c>
      <c r="C1013" s="11" t="s">
        <v>2581</v>
      </c>
      <c r="D1013" s="11" t="s">
        <v>2582</v>
      </c>
      <c r="E1013" s="11"/>
      <c r="F1013" s="11" t="s">
        <v>280</v>
      </c>
      <c r="G1013" s="11" t="s">
        <v>261</v>
      </c>
      <c r="H1013" s="11" t="s">
        <v>1852</v>
      </c>
    </row>
    <row r="1014" spans="1:8" x14ac:dyDescent="0.25">
      <c r="A1014" s="11" t="s">
        <v>319</v>
      </c>
      <c r="B1014" s="11" t="s">
        <v>2460</v>
      </c>
      <c r="C1014" s="11" t="s">
        <v>2583</v>
      </c>
      <c r="D1014" s="11" t="s">
        <v>2584</v>
      </c>
      <c r="E1014" s="11"/>
      <c r="F1014" s="11" t="s">
        <v>280</v>
      </c>
      <c r="G1014" s="11" t="s">
        <v>261</v>
      </c>
      <c r="H1014" s="11" t="s">
        <v>1852</v>
      </c>
    </row>
    <row r="1015" spans="1:8" x14ac:dyDescent="0.25">
      <c r="A1015" s="11" t="s">
        <v>319</v>
      </c>
      <c r="B1015" s="11" t="s">
        <v>2460</v>
      </c>
      <c r="C1015" s="11" t="s">
        <v>2585</v>
      </c>
      <c r="D1015" s="11" t="s">
        <v>2586</v>
      </c>
      <c r="E1015" s="11"/>
      <c r="F1015" s="11" t="s">
        <v>280</v>
      </c>
      <c r="G1015" s="11" t="s">
        <v>261</v>
      </c>
      <c r="H1015" s="11" t="s">
        <v>1852</v>
      </c>
    </row>
    <row r="1016" spans="1:8" x14ac:dyDescent="0.25">
      <c r="A1016" s="11" t="s">
        <v>319</v>
      </c>
      <c r="B1016" s="11" t="s">
        <v>2460</v>
      </c>
      <c r="C1016" s="11" t="s">
        <v>2587</v>
      </c>
      <c r="D1016" s="11" t="s">
        <v>2588</v>
      </c>
      <c r="E1016" s="11"/>
      <c r="F1016" s="11" t="s">
        <v>280</v>
      </c>
      <c r="G1016" s="11" t="s">
        <v>261</v>
      </c>
      <c r="H1016" s="11" t="s">
        <v>1852</v>
      </c>
    </row>
    <row r="1017" spans="1:8" x14ac:dyDescent="0.25">
      <c r="A1017" s="11" t="s">
        <v>319</v>
      </c>
      <c r="B1017" s="11" t="s">
        <v>2460</v>
      </c>
      <c r="C1017" s="11" t="s">
        <v>2589</v>
      </c>
      <c r="D1017" s="11" t="s">
        <v>2590</v>
      </c>
      <c r="E1017" s="11"/>
      <c r="F1017" s="11" t="s">
        <v>280</v>
      </c>
      <c r="G1017" s="11" t="s">
        <v>261</v>
      </c>
      <c r="H1017" s="11" t="s">
        <v>1852</v>
      </c>
    </row>
    <row r="1018" spans="1:8" x14ac:dyDescent="0.25">
      <c r="A1018" s="11" t="s">
        <v>319</v>
      </c>
      <c r="B1018" s="11" t="s">
        <v>2460</v>
      </c>
      <c r="C1018" s="11" t="s">
        <v>2591</v>
      </c>
      <c r="D1018" s="11" t="s">
        <v>2592</v>
      </c>
      <c r="E1018" s="11"/>
      <c r="F1018" s="11" t="s">
        <v>280</v>
      </c>
      <c r="G1018" s="11" t="s">
        <v>261</v>
      </c>
      <c r="H1018" s="11" t="s">
        <v>1852</v>
      </c>
    </row>
    <row r="1019" spans="1:8" x14ac:dyDescent="0.25">
      <c r="A1019" s="11" t="s">
        <v>319</v>
      </c>
      <c r="B1019" s="11" t="s">
        <v>2460</v>
      </c>
      <c r="C1019" s="11" t="s">
        <v>2593</v>
      </c>
      <c r="D1019" s="11" t="s">
        <v>2594</v>
      </c>
      <c r="E1019" s="11"/>
      <c r="F1019" s="11" t="s">
        <v>280</v>
      </c>
      <c r="G1019" s="11" t="s">
        <v>261</v>
      </c>
      <c r="H1019" s="11" t="s">
        <v>1852</v>
      </c>
    </row>
    <row r="1020" spans="1:8" x14ac:dyDescent="0.25">
      <c r="A1020" s="11" t="s">
        <v>319</v>
      </c>
      <c r="B1020" s="11" t="s">
        <v>2460</v>
      </c>
      <c r="C1020" s="11" t="s">
        <v>2595</v>
      </c>
      <c r="D1020" s="11" t="s">
        <v>2596</v>
      </c>
      <c r="E1020" s="11"/>
      <c r="F1020" s="11" t="s">
        <v>280</v>
      </c>
      <c r="G1020" s="11" t="s">
        <v>261</v>
      </c>
      <c r="H1020" s="11" t="s">
        <v>1852</v>
      </c>
    </row>
    <row r="1021" spans="1:8" x14ac:dyDescent="0.25">
      <c r="A1021" s="11" t="s">
        <v>319</v>
      </c>
      <c r="B1021" s="11" t="s">
        <v>2460</v>
      </c>
      <c r="C1021" s="11" t="s">
        <v>2597</v>
      </c>
      <c r="D1021" s="11" t="s">
        <v>2598</v>
      </c>
      <c r="E1021" s="11"/>
      <c r="F1021" s="11" t="s">
        <v>280</v>
      </c>
      <c r="G1021" s="11" t="s">
        <v>261</v>
      </c>
      <c r="H1021" s="11" t="s">
        <v>1852</v>
      </c>
    </row>
    <row r="1022" spans="1:8" x14ac:dyDescent="0.25">
      <c r="A1022" s="11" t="s">
        <v>319</v>
      </c>
      <c r="B1022" s="11" t="s">
        <v>2460</v>
      </c>
      <c r="C1022" s="11" t="s">
        <v>2599</v>
      </c>
      <c r="D1022" s="11" t="s">
        <v>2600</v>
      </c>
      <c r="E1022" s="11"/>
      <c r="F1022" s="11" t="s">
        <v>280</v>
      </c>
      <c r="G1022" s="11" t="s">
        <v>261</v>
      </c>
      <c r="H1022" s="11" t="s">
        <v>1852</v>
      </c>
    </row>
  </sheetData>
  <autoFilter ref="A2:H1022"/>
  <dataValidations count="6">
    <dataValidation type="list" allowBlank="1" sqref="A10:A1022">
      <formula1>"Acciones Espana,Acciones Europa,Acciones USA,Forex,Criptomonedas,ETF,Metales,Energia,Petroleo,Cafe,Otros commodities"</formula1>
      <formula2>0</formula2>
    </dataValidation>
    <dataValidation type="list" allowBlank="1" sqref="A3:A1022">
      <formula1>"Acciones Espana,Acciones Europa,Acciones USA,Forex,Criptomonedas,ETF,Metales,Energia,Petroleo,Cafe,Otros commodities"</formula1>
      <formula2>0</formula2>
    </dataValidation>
    <dataValidation type="list" allowBlank="1" sqref="H10:H57">
      <formula1>"Activo,No activo,Pendiente de configurar"</formula1>
      <formula2>0</formula2>
    </dataValidation>
    <dataValidation type="list" allowBlank="1" sqref="H1000:H1022">
      <formula1>"Activo,No activo,Pendiente de configurar"</formula1>
      <formula2>0</formula2>
    </dataValidation>
    <dataValidation type="list" allowBlank="1" sqref="H3:H57">
      <formula1>"Activo,No activo,Pendiente de configurar"</formula1>
      <formula2>0</formula2>
    </dataValidation>
    <dataValidation type="list" allowBlank="1" sqref="H630:H1022">
      <formula1>"Activo,No activo,Pendiente de configurar"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Views>
    <sheetView workbookViewId="0" showGridLines="0" zoomScale="100" zoomScaleNormal="100">
      <pane ySplit="4" topLeftCell="A89" activePane="bottomLeft" state="frozen"/>
      <selection pane="bottomLeft"/>
    </sheetView>
  </sheetViews>
  <sheetFormatPr defaultRowHeight="15" outlineLevelRow="0" outlineLevelCol="0" x14ac:dyDescent="0" defaultColWidth="8.7109375"/>
  <cols>
    <col min="1" max="1" width="30" customWidth="1"/>
    <col min="2" max="2" width="18" customWidth="1"/>
    <col min="3" max="3" width="20" customWidth="1"/>
    <col min="4" max="4" width="18" customWidth="1"/>
    <col min="5" max="5" width="12" customWidth="1"/>
    <col min="6" max="6" width="16" customWidth="1"/>
    <col min="7" max="7" width="22" customWidth="1"/>
    <col min="8" max="8" width="12" customWidth="1"/>
    <col min="9" max="9" width="14" customWidth="1"/>
    <col min="10" max="10" width="60" customWidth="1"/>
    <col min="11" max="11" width="16" customWidth="1"/>
  </cols>
  <sheetData>
    <row r="1" ht="16.5" customHeight="1" spans="2:2" x14ac:dyDescent="0.25">
      <c r="B1" s="17" t="s">
        <v>2601</v>
      </c>
    </row>
    <row r="2" spans="2:2" x14ac:dyDescent="0.25">
      <c r="B2" s="5" t="s">
        <v>2602</v>
      </c>
    </row>
    <row r="4" ht="30" customHeight="1" spans="1:11" x14ac:dyDescent="0.25">
      <c r="A4" s="9" t="s">
        <v>2603</v>
      </c>
      <c r="B4" s="9" t="s">
        <v>2604</v>
      </c>
      <c r="C4" s="9" t="s">
        <v>190</v>
      </c>
      <c r="D4" s="9" t="s">
        <v>53</v>
      </c>
      <c r="E4" s="9" t="s">
        <v>191</v>
      </c>
      <c r="F4" s="9" t="s">
        <v>192</v>
      </c>
      <c r="G4" s="9" t="s">
        <v>2605</v>
      </c>
      <c r="H4" s="9" t="s">
        <v>193</v>
      </c>
      <c r="I4" s="9" t="s">
        <v>86</v>
      </c>
      <c r="J4" s="9" t="s">
        <v>87</v>
      </c>
      <c r="K4" s="9" t="s">
        <v>255</v>
      </c>
    </row>
    <row r="5" spans="1:11" x14ac:dyDescent="0.25">
      <c r="A5" s="7">
        <f>IF(Monitorizacion!$W$12="","",Monitorizacion!$B$12&amp;"|15 min|Vela/Media|"&amp;TEXT(NOW(),"yyyymmddhhmm"))</f>
      </c>
      <c r="B5" s="7">
        <f>IF(Monitorizacion!$W$12="","",TEXT(NOW(),"dd/mm/yyyy hh:mm"))</f>
      </c>
      <c r="C5" s="7">
        <f>IF(Monitorizacion!$W$12="","",Monitorizacion!$B$12)</f>
      </c>
      <c r="D5" s="7">
        <f>IF(Monitorizacion!$W$12="","",Monitorizacion!$D$12)</f>
      </c>
      <c r="E5" s="7">
        <f>IF(Monitorizacion!$W$12="","","15 min")</f>
      </c>
      <c r="F5" s="7">
        <f>IF(Monitorizacion!$W$12="","","Vela/Media")</f>
      </c>
      <c r="G5" s="7">
        <f>IF(Monitorizacion!$W$12="","","Vela vs "&amp;Monitorizacion!$E$5)</f>
      </c>
      <c r="H5" s="7">
        <f>IF(Monitorizacion!$W$12="","",Monitorizacion!$W$12)</f>
      </c>
      <c r="I5" s="7">
        <f>IF(Monitorizacion!$W$12="","",Monitorizacion!$AK$12)</f>
      </c>
      <c r="J5" s="7">
        <f>IF(Monitorizacion!$W$12="","",Monitorizacion!$AL$12)</f>
      </c>
      <c r="K5" s="7">
        <f>IF(Monitorizacion!$W$12="","","Nuevo")</f>
      </c>
    </row>
    <row r="6" spans="1:11" x14ac:dyDescent="0.25">
      <c r="A6" s="7">
        <f>IF(Monitorizacion!$X$12="","",Monitorizacion!$B$12&amp;"|15 min|Media/Media|"&amp;TEXT(NOW(),"yyyymmddhhmm"))</f>
      </c>
      <c r="B6" s="7">
        <f>IF(Monitorizacion!$X$12="","",TEXT(NOW(),"dd/mm/yyyy hh:mm"))</f>
      </c>
      <c r="C6" s="7">
        <f>IF(Monitorizacion!$X$12="","",Monitorizacion!$B$12)</f>
      </c>
      <c r="D6" s="7">
        <f>IF(Monitorizacion!$X$12="","",Monitorizacion!$D$12)</f>
      </c>
      <c r="E6" s="7">
        <f>IF(Monitorizacion!$X$12="","","15 min")</f>
      </c>
      <c r="F6" s="7">
        <f>IF(Monitorizacion!$X$12="","","Media/Media")</f>
      </c>
      <c r="G6" s="7">
        <f>IF(Monitorizacion!$X$12="","",Monitorizacion!$E$5&amp;" vs "&amp;Monitorizacion!$E$6)</f>
      </c>
      <c r="H6" s="7">
        <f>IF(Monitorizacion!$X$12="","",Monitorizacion!$X$12)</f>
      </c>
      <c r="I6" s="7">
        <f>IF(Monitorizacion!$X$12="","",Monitorizacion!$AK$12)</f>
      </c>
      <c r="J6" s="7">
        <f>IF(Monitorizacion!$X$12="","",Monitorizacion!$AL$12)</f>
      </c>
      <c r="K6" s="7">
        <f>IF(Monitorizacion!$X$12="","","Nuevo")</f>
      </c>
    </row>
    <row r="7" spans="1:11" x14ac:dyDescent="0.25">
      <c r="A7" s="7">
        <f>IF(Monitorizacion!$AI$12="","",Monitorizacion!$B$12&amp;"|1 hora|Vela/Media|"&amp;TEXT(NOW(),"yyyymmddhhmm"))</f>
      </c>
      <c r="B7" s="7">
        <f>IF(Monitorizacion!$AI$12="","",TEXT(NOW(),"dd/mm/yyyy hh:mm"))</f>
      </c>
      <c r="C7" s="7">
        <f>IF(Monitorizacion!$AI$12="","",Monitorizacion!$B$12)</f>
      </c>
      <c r="D7" s="7">
        <f>IF(Monitorizacion!$AI$12="","",Monitorizacion!$D$12)</f>
      </c>
      <c r="E7" s="7">
        <f>IF(Monitorizacion!$AI$12="","","1 hora")</f>
      </c>
      <c r="F7" s="7">
        <f>IF(Monitorizacion!$AI$12="","","Vela/Media")</f>
      </c>
      <c r="G7" s="7">
        <f>IF(Monitorizacion!$AI$12="","","Vela vs "&amp;Monitorizacion!$E$5)</f>
      </c>
      <c r="H7" s="7">
        <f>IF(Monitorizacion!$AI$12="","",Monitorizacion!$AI$12)</f>
      </c>
      <c r="I7" s="7">
        <f>IF(Monitorizacion!$AI$12="","",Monitorizacion!$AK$12)</f>
      </c>
      <c r="J7" s="7">
        <f>IF(Monitorizacion!$AI$12="","",Monitorizacion!$AL$12)</f>
      </c>
      <c r="K7" s="7">
        <f>IF(Monitorizacion!$AI$12="","","Nuevo")</f>
      </c>
    </row>
    <row r="8" spans="1:11" x14ac:dyDescent="0.25">
      <c r="A8" s="7">
        <f>IF(Monitorizacion!$AJ$12="","",Monitorizacion!$B$12&amp;"|1 hora|Media/Media|"&amp;TEXT(NOW(),"yyyymmddhhmm"))</f>
      </c>
      <c r="B8" s="7">
        <f>IF(Monitorizacion!$AJ$12="","",TEXT(NOW(),"dd/mm/yyyy hh:mm"))</f>
      </c>
      <c r="C8" s="7">
        <f>IF(Monitorizacion!$AJ$12="","",Monitorizacion!$B$12)</f>
      </c>
      <c r="D8" s="7">
        <f>IF(Monitorizacion!$AJ$12="","",Monitorizacion!$D$12)</f>
      </c>
      <c r="E8" s="7">
        <f>IF(Monitorizacion!$AJ$12="","","1 hora")</f>
      </c>
      <c r="F8" s="7">
        <f>IF(Monitorizacion!$AJ$12="","","Media/Media")</f>
      </c>
      <c r="G8" s="7">
        <f>IF(Monitorizacion!$AJ$12="","",Monitorizacion!$E$5&amp;" vs "&amp;Monitorizacion!$E$6)</f>
      </c>
      <c r="H8" s="7">
        <f>IF(Monitorizacion!$AJ$12="","",Monitorizacion!$AJ$12)</f>
      </c>
      <c r="I8" s="7">
        <f>IF(Monitorizacion!$AJ$12="","",Monitorizacion!$AK$12)</f>
      </c>
      <c r="J8" s="7">
        <f>IF(Monitorizacion!$AJ$12="","",Monitorizacion!$AL$12)</f>
      </c>
      <c r="K8" s="7">
        <f>IF(Monitorizacion!$AJ$12="","","Nuevo")</f>
      </c>
    </row>
    <row r="9" spans="1:11" x14ac:dyDescent="0.25">
      <c r="A9" s="7">
        <f>IF(Monitorizacion!$W$13="","",Monitorizacion!$B$13&amp;"|15 min|Vela/Media|"&amp;TEXT(NOW(),"yyyymmddhhmm"))</f>
      </c>
      <c r="B9" s="7">
        <f>IF(Monitorizacion!$W$13="","",TEXT(NOW(),"dd/mm/yyyy hh:mm"))</f>
      </c>
      <c r="C9" s="7">
        <f>IF(Monitorizacion!$W$13="","",Monitorizacion!$B$13)</f>
      </c>
      <c r="D9" s="7">
        <f>IF(Monitorizacion!$W$13="","",Monitorizacion!$D$13)</f>
      </c>
      <c r="E9" s="7">
        <f>IF(Monitorizacion!$W$13="","","15 min")</f>
      </c>
      <c r="F9" s="7">
        <f>IF(Monitorizacion!$W$13="","","Vela/Media")</f>
      </c>
      <c r="G9" s="7">
        <f>IF(Monitorizacion!$W$13="","","Vela vs "&amp;Monitorizacion!$E$5)</f>
      </c>
      <c r="H9" s="7">
        <f>IF(Monitorizacion!$W$13="","",Monitorizacion!$W$13)</f>
      </c>
      <c r="I9" s="7">
        <f>IF(Monitorizacion!$W$13="","",Monitorizacion!$AK$13)</f>
      </c>
      <c r="J9" s="7">
        <f>IF(Monitorizacion!$W$13="","",Monitorizacion!$AL$13)</f>
      </c>
      <c r="K9" s="7">
        <f>IF(Monitorizacion!$W$13="","","Nuevo")</f>
      </c>
    </row>
    <row r="10" spans="1:11" x14ac:dyDescent="0.25">
      <c r="A10" s="7">
        <f>IF(Monitorizacion!$X$13="","",Monitorizacion!$B$13&amp;"|15 min|Media/Media|"&amp;TEXT(NOW(),"yyyymmddhhmm"))</f>
      </c>
      <c r="B10" s="7">
        <f>IF(Monitorizacion!$X$13="","",TEXT(NOW(),"dd/mm/yyyy hh:mm"))</f>
      </c>
      <c r="C10" s="7">
        <f>IF(Monitorizacion!$X$13="","",Monitorizacion!$B$13)</f>
      </c>
      <c r="D10" s="7">
        <f>IF(Monitorizacion!$X$13="","",Monitorizacion!$D$13)</f>
      </c>
      <c r="E10" s="7">
        <f>IF(Monitorizacion!$X$13="","","15 min")</f>
      </c>
      <c r="F10" s="7">
        <f>IF(Monitorizacion!$X$13="","","Media/Media")</f>
      </c>
      <c r="G10" s="7">
        <f>IF(Monitorizacion!$X$13="","",Monitorizacion!$E$5&amp;" vs "&amp;Monitorizacion!$E$6)</f>
      </c>
      <c r="H10" s="7">
        <f>IF(Monitorizacion!$X$13="","",Monitorizacion!$X$13)</f>
      </c>
      <c r="I10" s="7">
        <f>IF(Monitorizacion!$X$13="","",Monitorizacion!$AK$13)</f>
      </c>
      <c r="J10" s="7">
        <f>IF(Monitorizacion!$X$13="","",Monitorizacion!$AL$13)</f>
      </c>
      <c r="K10" s="7">
        <f>IF(Monitorizacion!$X$13="","","Nuevo")</f>
      </c>
    </row>
    <row r="11" spans="1:11" x14ac:dyDescent="0.25">
      <c r="A11" s="7">
        <f>IF(Monitorizacion!$AI$13="","",Monitorizacion!$B$13&amp;"|1 hora|Vela/Media|"&amp;TEXT(NOW(),"yyyymmddhhmm"))</f>
      </c>
      <c r="B11" s="7">
        <f>IF(Monitorizacion!$AI$13="","",TEXT(NOW(),"dd/mm/yyyy hh:mm"))</f>
      </c>
      <c r="C11" s="7">
        <f>IF(Monitorizacion!$AI$13="","",Monitorizacion!$B$13)</f>
      </c>
      <c r="D11" s="7">
        <f>IF(Monitorizacion!$AI$13="","",Monitorizacion!$D$13)</f>
      </c>
      <c r="E11" s="7">
        <f>IF(Monitorizacion!$AI$13="","","1 hora")</f>
      </c>
      <c r="F11" s="7">
        <f>IF(Monitorizacion!$AI$13="","","Vela/Media")</f>
      </c>
      <c r="G11" s="7">
        <f>IF(Monitorizacion!$AI$13="","","Vela vs "&amp;Monitorizacion!$E$5)</f>
      </c>
      <c r="H11" s="7">
        <f>IF(Monitorizacion!$AI$13="","",Monitorizacion!$AI$13)</f>
      </c>
      <c r="I11" s="7">
        <f>IF(Monitorizacion!$AI$13="","",Monitorizacion!$AK$13)</f>
      </c>
      <c r="J11" s="7">
        <f>IF(Monitorizacion!$AI$13="","",Monitorizacion!$AL$13)</f>
      </c>
      <c r="K11" s="7">
        <f>IF(Monitorizacion!$AI$13="","","Nuevo")</f>
      </c>
    </row>
    <row r="12" spans="1:11" x14ac:dyDescent="0.25">
      <c r="A12" s="7">
        <f>IF(Monitorizacion!$AJ$13="","",Monitorizacion!$B$13&amp;"|1 hora|Media/Media|"&amp;TEXT(NOW(),"yyyymmddhhmm"))</f>
      </c>
      <c r="B12" s="7">
        <f>IF(Monitorizacion!$AJ$13="","",TEXT(NOW(),"dd/mm/yyyy hh:mm"))</f>
      </c>
      <c r="C12" s="7">
        <f>IF(Monitorizacion!$AJ$13="","",Monitorizacion!$B$13)</f>
      </c>
      <c r="D12" s="7">
        <f>IF(Monitorizacion!$AJ$13="","",Monitorizacion!$D$13)</f>
      </c>
      <c r="E12" s="7">
        <f>IF(Monitorizacion!$AJ$13="","","1 hora")</f>
      </c>
      <c r="F12" s="7">
        <f>IF(Monitorizacion!$AJ$13="","","Media/Media")</f>
      </c>
      <c r="G12" s="7">
        <f>IF(Monitorizacion!$AJ$13="","",Monitorizacion!$E$5&amp;" vs "&amp;Monitorizacion!$E$6)</f>
      </c>
      <c r="H12" s="7">
        <f>IF(Monitorizacion!$AJ$13="","",Monitorizacion!$AJ$13)</f>
      </c>
      <c r="I12" s="7">
        <f>IF(Monitorizacion!$AJ$13="","",Monitorizacion!$AK$13)</f>
      </c>
      <c r="J12" s="7">
        <f>IF(Monitorizacion!$AJ$13="","",Monitorizacion!$AL$13)</f>
      </c>
      <c r="K12" s="7">
        <f>IF(Monitorizacion!$AJ$13="","","Nuevo")</f>
      </c>
    </row>
    <row r="13" spans="1:11" x14ac:dyDescent="0.25">
      <c r="A13" s="7">
        <f>IF(Monitorizacion!$W$14="","",Monitorizacion!$B$14&amp;"|15 min|Vela/Media|"&amp;TEXT(NOW(),"yyyymmddhhmm"))</f>
      </c>
      <c r="B13" s="7">
        <f>IF(Monitorizacion!$W$14="","",TEXT(NOW(),"dd/mm/yyyy hh:mm"))</f>
      </c>
      <c r="C13" s="7">
        <f>IF(Monitorizacion!$W$14="","",Monitorizacion!$B$14)</f>
      </c>
      <c r="D13" s="7">
        <f>IF(Monitorizacion!$W$14="","",Monitorizacion!$D$14)</f>
      </c>
      <c r="E13" s="7">
        <f>IF(Monitorizacion!$W$14="","","15 min")</f>
      </c>
      <c r="F13" s="7">
        <f>IF(Monitorizacion!$W$14="","","Vela/Media")</f>
      </c>
      <c r="G13" s="7">
        <f>IF(Monitorizacion!$W$14="","","Vela vs "&amp;Monitorizacion!$E$5)</f>
      </c>
      <c r="H13" s="7">
        <f>IF(Monitorizacion!$W$14="","",Monitorizacion!$W$14)</f>
      </c>
      <c r="I13" s="7">
        <f>IF(Monitorizacion!$W$14="","",Monitorizacion!$AK$14)</f>
      </c>
      <c r="J13" s="7">
        <f>IF(Monitorizacion!$W$14="","",Monitorizacion!$AL$14)</f>
      </c>
      <c r="K13" s="7">
        <f>IF(Monitorizacion!$W$14="","","Nuevo")</f>
      </c>
    </row>
    <row r="14" spans="1:11" x14ac:dyDescent="0.25">
      <c r="A14" s="7">
        <f>IF(Monitorizacion!$X$14="","",Monitorizacion!$B$14&amp;"|15 min|Media/Media|"&amp;TEXT(NOW(),"yyyymmddhhmm"))</f>
      </c>
      <c r="B14" s="7">
        <f>IF(Monitorizacion!$X$14="","",TEXT(NOW(),"dd/mm/yyyy hh:mm"))</f>
      </c>
      <c r="C14" s="7">
        <f>IF(Monitorizacion!$X$14="","",Monitorizacion!$B$14)</f>
      </c>
      <c r="D14" s="7">
        <f>IF(Monitorizacion!$X$14="","",Monitorizacion!$D$14)</f>
      </c>
      <c r="E14" s="7">
        <f>IF(Monitorizacion!$X$14="","","15 min")</f>
      </c>
      <c r="F14" s="7">
        <f>IF(Monitorizacion!$X$14="","","Media/Media")</f>
      </c>
      <c r="G14" s="7">
        <f>IF(Monitorizacion!$X$14="","",Monitorizacion!$E$5&amp;" vs "&amp;Monitorizacion!$E$6)</f>
      </c>
      <c r="H14" s="7">
        <f>IF(Monitorizacion!$X$14="","",Monitorizacion!$X$14)</f>
      </c>
      <c r="I14" s="7">
        <f>IF(Monitorizacion!$X$14="","",Monitorizacion!$AK$14)</f>
      </c>
      <c r="J14" s="7">
        <f>IF(Monitorizacion!$X$14="","",Monitorizacion!$AL$14)</f>
      </c>
      <c r="K14" s="7">
        <f>IF(Monitorizacion!$X$14="","","Nuevo")</f>
      </c>
    </row>
    <row r="15" spans="1:11" x14ac:dyDescent="0.25">
      <c r="A15" s="7">
        <f>IF(Monitorizacion!$AI$14="","",Monitorizacion!$B$14&amp;"|1 hora|Vela/Media|"&amp;TEXT(NOW(),"yyyymmddhhmm"))</f>
      </c>
      <c r="B15" s="7">
        <f>IF(Monitorizacion!$AI$14="","",TEXT(NOW(),"dd/mm/yyyy hh:mm"))</f>
      </c>
      <c r="C15" s="7">
        <f>IF(Monitorizacion!$AI$14="","",Monitorizacion!$B$14)</f>
      </c>
      <c r="D15" s="7">
        <f>IF(Monitorizacion!$AI$14="","",Monitorizacion!$D$14)</f>
      </c>
      <c r="E15" s="7">
        <f>IF(Monitorizacion!$AI$14="","","1 hora")</f>
      </c>
      <c r="F15" s="7">
        <f>IF(Monitorizacion!$AI$14="","","Vela/Media")</f>
      </c>
      <c r="G15" s="7">
        <f>IF(Monitorizacion!$AI$14="","","Vela vs "&amp;Monitorizacion!$E$5)</f>
      </c>
      <c r="H15" s="7">
        <f>IF(Monitorizacion!$AI$14="","",Monitorizacion!$AI$14)</f>
      </c>
      <c r="I15" s="7">
        <f>IF(Monitorizacion!$AI$14="","",Monitorizacion!$AK$14)</f>
      </c>
      <c r="J15" s="7">
        <f>IF(Monitorizacion!$AI$14="","",Monitorizacion!$AL$14)</f>
      </c>
      <c r="K15" s="7">
        <f>IF(Monitorizacion!$AI$14="","","Nuevo")</f>
      </c>
    </row>
    <row r="16" spans="1:11" x14ac:dyDescent="0.25">
      <c r="A16" s="7">
        <f>IF(Monitorizacion!$AJ$14="","",Monitorizacion!$B$14&amp;"|1 hora|Media/Media|"&amp;TEXT(NOW(),"yyyymmddhhmm"))</f>
      </c>
      <c r="B16" s="7">
        <f>IF(Monitorizacion!$AJ$14="","",TEXT(NOW(),"dd/mm/yyyy hh:mm"))</f>
      </c>
      <c r="C16" s="7">
        <f>IF(Monitorizacion!$AJ$14="","",Monitorizacion!$B$14)</f>
      </c>
      <c r="D16" s="7">
        <f>IF(Monitorizacion!$AJ$14="","",Monitorizacion!$D$14)</f>
      </c>
      <c r="E16" s="7">
        <f>IF(Monitorizacion!$AJ$14="","","1 hora")</f>
      </c>
      <c r="F16" s="7">
        <f>IF(Monitorizacion!$AJ$14="","","Media/Media")</f>
      </c>
      <c r="G16" s="7">
        <f>IF(Monitorizacion!$AJ$14="","",Monitorizacion!$E$5&amp;" vs "&amp;Monitorizacion!$E$6)</f>
      </c>
      <c r="H16" s="7">
        <f>IF(Monitorizacion!$AJ$14="","",Monitorizacion!$AJ$14)</f>
      </c>
      <c r="I16" s="7">
        <f>IF(Monitorizacion!$AJ$14="","",Monitorizacion!$AK$14)</f>
      </c>
      <c r="J16" s="7">
        <f>IF(Monitorizacion!$AJ$14="","",Monitorizacion!$AL$14)</f>
      </c>
      <c r="K16" s="7">
        <f>IF(Monitorizacion!$AJ$14="","","Nuevo")</f>
      </c>
    </row>
    <row r="17" spans="1:11" x14ac:dyDescent="0.25">
      <c r="A17" s="7">
        <f>IF(Monitorizacion!$W$15="","",Monitorizacion!$B$15&amp;"|15 min|Vela/Media|"&amp;TEXT(NOW(),"yyyymmddhhmm"))</f>
      </c>
      <c r="B17" s="7">
        <f>IF(Monitorizacion!$W$15="","",TEXT(NOW(),"dd/mm/yyyy hh:mm"))</f>
      </c>
      <c r="C17" s="7">
        <f>IF(Monitorizacion!$W$15="","",Monitorizacion!$B$15)</f>
      </c>
      <c r="D17" s="7">
        <f>IF(Monitorizacion!$W$15="","",Monitorizacion!$D$15)</f>
      </c>
      <c r="E17" s="7">
        <f>IF(Monitorizacion!$W$15="","","15 min")</f>
      </c>
      <c r="F17" s="7">
        <f>IF(Monitorizacion!$W$15="","","Vela/Media")</f>
      </c>
      <c r="G17" s="7">
        <f>IF(Monitorizacion!$W$15="","","Vela vs "&amp;Monitorizacion!$E$5)</f>
      </c>
      <c r="H17" s="7">
        <f>IF(Monitorizacion!$W$15="","",Monitorizacion!$W$15)</f>
      </c>
      <c r="I17" s="7">
        <f>IF(Monitorizacion!$W$15="","",Monitorizacion!$AK$15)</f>
      </c>
      <c r="J17" s="7">
        <f>IF(Monitorizacion!$W$15="","",Monitorizacion!$AL$15)</f>
      </c>
      <c r="K17" s="7">
        <f>IF(Monitorizacion!$W$15="","","Nuevo")</f>
      </c>
    </row>
    <row r="18" spans="1:11" x14ac:dyDescent="0.25">
      <c r="A18" s="7">
        <f>IF(Monitorizacion!$X$15="","",Monitorizacion!$B$15&amp;"|15 min|Media/Media|"&amp;TEXT(NOW(),"yyyymmddhhmm"))</f>
      </c>
      <c r="B18" s="7">
        <f>IF(Monitorizacion!$X$15="","",TEXT(NOW(),"dd/mm/yyyy hh:mm"))</f>
      </c>
      <c r="C18" s="7">
        <f>IF(Monitorizacion!$X$15="","",Monitorizacion!$B$15)</f>
      </c>
      <c r="D18" s="7">
        <f>IF(Monitorizacion!$X$15="","",Monitorizacion!$D$15)</f>
      </c>
      <c r="E18" s="7">
        <f>IF(Monitorizacion!$X$15="","","15 min")</f>
      </c>
      <c r="F18" s="7">
        <f>IF(Monitorizacion!$X$15="","","Media/Media")</f>
      </c>
      <c r="G18" s="7">
        <f>IF(Monitorizacion!$X$15="","",Monitorizacion!$E$5&amp;" vs "&amp;Monitorizacion!$E$6)</f>
      </c>
      <c r="H18" s="7">
        <f>IF(Monitorizacion!$X$15="","",Monitorizacion!$X$15)</f>
      </c>
      <c r="I18" s="7">
        <f>IF(Monitorizacion!$X$15="","",Monitorizacion!$AK$15)</f>
      </c>
      <c r="J18" s="7">
        <f>IF(Monitorizacion!$X$15="","",Monitorizacion!$AL$15)</f>
      </c>
      <c r="K18" s="7">
        <f>IF(Monitorizacion!$X$15="","","Nuevo")</f>
      </c>
    </row>
    <row r="19" spans="1:11" x14ac:dyDescent="0.25">
      <c r="A19" s="7">
        <f>IF(Monitorizacion!$AI$15="","",Monitorizacion!$B$15&amp;"|1 hora|Vela/Media|"&amp;TEXT(NOW(),"yyyymmddhhmm"))</f>
      </c>
      <c r="B19" s="7">
        <f>IF(Monitorizacion!$AI$15="","",TEXT(NOW(),"dd/mm/yyyy hh:mm"))</f>
      </c>
      <c r="C19" s="7">
        <f>IF(Monitorizacion!$AI$15="","",Monitorizacion!$B$15)</f>
      </c>
      <c r="D19" s="7">
        <f>IF(Monitorizacion!$AI$15="","",Monitorizacion!$D$15)</f>
      </c>
      <c r="E19" s="7">
        <f>IF(Monitorizacion!$AI$15="","","1 hora")</f>
      </c>
      <c r="F19" s="7">
        <f>IF(Monitorizacion!$AI$15="","","Vela/Media")</f>
      </c>
      <c r="G19" s="7">
        <f>IF(Monitorizacion!$AI$15="","","Vela vs "&amp;Monitorizacion!$E$5)</f>
      </c>
      <c r="H19" s="7">
        <f>IF(Monitorizacion!$AI$15="","",Monitorizacion!$AI$15)</f>
      </c>
      <c r="I19" s="7">
        <f>IF(Monitorizacion!$AI$15="","",Monitorizacion!$AK$15)</f>
      </c>
      <c r="J19" s="7">
        <f>IF(Monitorizacion!$AI$15="","",Monitorizacion!$AL$15)</f>
      </c>
      <c r="K19" s="7">
        <f>IF(Monitorizacion!$AI$15="","","Nuevo")</f>
      </c>
    </row>
    <row r="20" spans="1:11" x14ac:dyDescent="0.25">
      <c r="A20" s="7">
        <f>IF(Monitorizacion!$AJ$15="","",Monitorizacion!$B$15&amp;"|1 hora|Media/Media|"&amp;TEXT(NOW(),"yyyymmddhhmm"))</f>
      </c>
      <c r="B20" s="7">
        <f>IF(Monitorizacion!$AJ$15="","",TEXT(NOW(),"dd/mm/yyyy hh:mm"))</f>
      </c>
      <c r="C20" s="7">
        <f>IF(Monitorizacion!$AJ$15="","",Monitorizacion!$B$15)</f>
      </c>
      <c r="D20" s="7">
        <f>IF(Monitorizacion!$AJ$15="","",Monitorizacion!$D$15)</f>
      </c>
      <c r="E20" s="7">
        <f>IF(Monitorizacion!$AJ$15="","","1 hora")</f>
      </c>
      <c r="F20" s="7">
        <f>IF(Monitorizacion!$AJ$15="","","Media/Media")</f>
      </c>
      <c r="G20" s="7">
        <f>IF(Monitorizacion!$AJ$15="","",Monitorizacion!$E$5&amp;" vs "&amp;Monitorizacion!$E$6)</f>
      </c>
      <c r="H20" s="7">
        <f>IF(Monitorizacion!$AJ$15="","",Monitorizacion!$AJ$15)</f>
      </c>
      <c r="I20" s="7">
        <f>IF(Monitorizacion!$AJ$15="","",Monitorizacion!$AK$15)</f>
      </c>
      <c r="J20" s="7">
        <f>IF(Monitorizacion!$AJ$15="","",Monitorizacion!$AL$15)</f>
      </c>
      <c r="K20" s="7">
        <f>IF(Monitorizacion!$AJ$15="","","Nuevo")</f>
      </c>
    </row>
    <row r="21" spans="1:11" x14ac:dyDescent="0.25">
      <c r="A21" s="7">
        <f>IF(Monitorizacion!$W$16="","",Monitorizacion!$B$16&amp;"|15 min|Vela/Media|"&amp;TEXT(NOW(),"yyyymmddhhmm"))</f>
      </c>
      <c r="B21" s="7">
        <f>IF(Monitorizacion!$W$16="","",TEXT(NOW(),"dd/mm/yyyy hh:mm"))</f>
      </c>
      <c r="C21" s="7">
        <f>IF(Monitorizacion!$W$16="","",Monitorizacion!$B$16)</f>
      </c>
      <c r="D21" s="7">
        <f>IF(Monitorizacion!$W$16="","",Monitorizacion!$D$16)</f>
      </c>
      <c r="E21" s="7">
        <f>IF(Monitorizacion!$W$16="","","15 min")</f>
      </c>
      <c r="F21" s="7">
        <f>IF(Monitorizacion!$W$16="","","Vela/Media")</f>
      </c>
      <c r="G21" s="7">
        <f>IF(Monitorizacion!$W$16="","","Vela vs "&amp;Monitorizacion!$E$5)</f>
      </c>
      <c r="H21" s="7">
        <f>IF(Monitorizacion!$W$16="","",Monitorizacion!$W$16)</f>
      </c>
      <c r="I21" s="7">
        <f>IF(Monitorizacion!$W$16="","",Monitorizacion!$AK$16)</f>
      </c>
      <c r="J21" s="7">
        <f>IF(Monitorizacion!$W$16="","",Monitorizacion!$AL$16)</f>
      </c>
      <c r="K21" s="7">
        <f>IF(Monitorizacion!$W$16="","","Nuevo")</f>
      </c>
    </row>
    <row r="22" spans="1:11" x14ac:dyDescent="0.25">
      <c r="A22" s="7">
        <f>IF(Monitorizacion!$X$16="","",Monitorizacion!$B$16&amp;"|15 min|Media/Media|"&amp;TEXT(NOW(),"yyyymmddhhmm"))</f>
      </c>
      <c r="B22" s="7">
        <f>IF(Monitorizacion!$X$16="","",TEXT(NOW(),"dd/mm/yyyy hh:mm"))</f>
      </c>
      <c r="C22" s="7">
        <f>IF(Monitorizacion!$X$16="","",Monitorizacion!$B$16)</f>
      </c>
      <c r="D22" s="7">
        <f>IF(Monitorizacion!$X$16="","",Monitorizacion!$D$16)</f>
      </c>
      <c r="E22" s="7">
        <f>IF(Monitorizacion!$X$16="","","15 min")</f>
      </c>
      <c r="F22" s="7">
        <f>IF(Monitorizacion!$X$16="","","Media/Media")</f>
      </c>
      <c r="G22" s="7">
        <f>IF(Monitorizacion!$X$16="","",Monitorizacion!$E$5&amp;" vs "&amp;Monitorizacion!$E$6)</f>
      </c>
      <c r="H22" s="7">
        <f>IF(Monitorizacion!$X$16="","",Monitorizacion!$X$16)</f>
      </c>
      <c r="I22" s="7">
        <f>IF(Monitorizacion!$X$16="","",Monitorizacion!$AK$16)</f>
      </c>
      <c r="J22" s="7">
        <f>IF(Monitorizacion!$X$16="","",Monitorizacion!$AL$16)</f>
      </c>
      <c r="K22" s="7">
        <f>IF(Monitorizacion!$X$16="","","Nuevo")</f>
      </c>
    </row>
    <row r="23" spans="1:11" x14ac:dyDescent="0.25">
      <c r="A23" s="7">
        <f>IF(Monitorizacion!$AI$16="","",Monitorizacion!$B$16&amp;"|1 hora|Vela/Media|"&amp;TEXT(NOW(),"yyyymmddhhmm"))</f>
      </c>
      <c r="B23" s="7">
        <f>IF(Monitorizacion!$AI$16="","",TEXT(NOW(),"dd/mm/yyyy hh:mm"))</f>
      </c>
      <c r="C23" s="7">
        <f>IF(Monitorizacion!$AI$16="","",Monitorizacion!$B$16)</f>
      </c>
      <c r="D23" s="7">
        <f>IF(Monitorizacion!$AI$16="","",Monitorizacion!$D$16)</f>
      </c>
      <c r="E23" s="7">
        <f>IF(Monitorizacion!$AI$16="","","1 hora")</f>
      </c>
      <c r="F23" s="7">
        <f>IF(Monitorizacion!$AI$16="","","Vela/Media")</f>
      </c>
      <c r="G23" s="7">
        <f>IF(Monitorizacion!$AI$16="","","Vela vs "&amp;Monitorizacion!$E$5)</f>
      </c>
      <c r="H23" s="7">
        <f>IF(Monitorizacion!$AI$16="","",Monitorizacion!$AI$16)</f>
      </c>
      <c r="I23" s="7">
        <f>IF(Monitorizacion!$AI$16="","",Monitorizacion!$AK$16)</f>
      </c>
      <c r="J23" s="7">
        <f>IF(Monitorizacion!$AI$16="","",Monitorizacion!$AL$16)</f>
      </c>
      <c r="K23" s="7">
        <f>IF(Monitorizacion!$AI$16="","","Nuevo")</f>
      </c>
    </row>
    <row r="24" spans="1:11" x14ac:dyDescent="0.25">
      <c r="A24" s="7">
        <f>IF(Monitorizacion!$AJ$16="","",Monitorizacion!$B$16&amp;"|1 hora|Media/Media|"&amp;TEXT(NOW(),"yyyymmddhhmm"))</f>
      </c>
      <c r="B24" s="7">
        <f>IF(Monitorizacion!$AJ$16="","",TEXT(NOW(),"dd/mm/yyyy hh:mm"))</f>
      </c>
      <c r="C24" s="7">
        <f>IF(Monitorizacion!$AJ$16="","",Monitorizacion!$B$16)</f>
      </c>
      <c r="D24" s="7">
        <f>IF(Monitorizacion!$AJ$16="","",Monitorizacion!$D$16)</f>
      </c>
      <c r="E24" s="7">
        <f>IF(Monitorizacion!$AJ$16="","","1 hora")</f>
      </c>
      <c r="F24" s="7">
        <f>IF(Monitorizacion!$AJ$16="","","Media/Media")</f>
      </c>
      <c r="G24" s="7">
        <f>IF(Monitorizacion!$AJ$16="","",Monitorizacion!$E$5&amp;" vs "&amp;Monitorizacion!$E$6)</f>
      </c>
      <c r="H24" s="7">
        <f>IF(Monitorizacion!$AJ$16="","",Monitorizacion!$AJ$16)</f>
      </c>
      <c r="I24" s="7">
        <f>IF(Monitorizacion!$AJ$16="","",Monitorizacion!$AK$16)</f>
      </c>
      <c r="J24" s="7">
        <f>IF(Monitorizacion!$AJ$16="","",Monitorizacion!$AL$16)</f>
      </c>
      <c r="K24" s="7">
        <f>IF(Monitorizacion!$AJ$16="","","Nuevo")</f>
      </c>
    </row>
    <row r="25" spans="1:11" x14ac:dyDescent="0.25">
      <c r="A25" s="7">
        <f>IF(Monitorizacion!$W$17="","",Monitorizacion!$B$17&amp;"|15 min|Vela/Media|"&amp;TEXT(NOW(),"yyyymmddhhmm"))</f>
      </c>
      <c r="B25" s="7">
        <f>IF(Monitorizacion!$W$17="","",TEXT(NOW(),"dd/mm/yyyy hh:mm"))</f>
      </c>
      <c r="C25" s="7">
        <f>IF(Monitorizacion!$W$17="","",Monitorizacion!$B$17)</f>
      </c>
      <c r="D25" s="7">
        <f>IF(Monitorizacion!$W$17="","",Monitorizacion!$D$17)</f>
      </c>
      <c r="E25" s="7">
        <f>IF(Monitorizacion!$W$17="","","15 min")</f>
      </c>
      <c r="F25" s="7">
        <f>IF(Monitorizacion!$W$17="","","Vela/Media")</f>
      </c>
      <c r="G25" s="7">
        <f>IF(Monitorizacion!$W$17="","","Vela vs "&amp;Monitorizacion!$E$5)</f>
      </c>
      <c r="H25" s="7">
        <f>IF(Monitorizacion!$W$17="","",Monitorizacion!$W$17)</f>
      </c>
      <c r="I25" s="7">
        <f>IF(Monitorizacion!$W$17="","",Monitorizacion!$AK$17)</f>
      </c>
      <c r="J25" s="7">
        <f>IF(Monitorizacion!$W$17="","",Monitorizacion!$AL$17)</f>
      </c>
      <c r="K25" s="7">
        <f>IF(Monitorizacion!$W$17="","","Nuevo")</f>
      </c>
    </row>
    <row r="26" spans="1:11" x14ac:dyDescent="0.25">
      <c r="A26" s="7">
        <f>IF(Monitorizacion!$X$17="","",Monitorizacion!$B$17&amp;"|15 min|Media/Media|"&amp;TEXT(NOW(),"yyyymmddhhmm"))</f>
      </c>
      <c r="B26" s="7">
        <f>IF(Monitorizacion!$X$17="","",TEXT(NOW(),"dd/mm/yyyy hh:mm"))</f>
      </c>
      <c r="C26" s="7">
        <f>IF(Monitorizacion!$X$17="","",Monitorizacion!$B$17)</f>
      </c>
      <c r="D26" s="7">
        <f>IF(Monitorizacion!$X$17="","",Monitorizacion!$D$17)</f>
      </c>
      <c r="E26" s="7">
        <f>IF(Monitorizacion!$X$17="","","15 min")</f>
      </c>
      <c r="F26" s="7">
        <f>IF(Monitorizacion!$X$17="","","Media/Media")</f>
      </c>
      <c r="G26" s="7">
        <f>IF(Monitorizacion!$X$17="","",Monitorizacion!$E$5&amp;" vs "&amp;Monitorizacion!$E$6)</f>
      </c>
      <c r="H26" s="7">
        <f>IF(Monitorizacion!$X$17="","",Monitorizacion!$X$17)</f>
      </c>
      <c r="I26" s="7">
        <f>IF(Monitorizacion!$X$17="","",Monitorizacion!$AK$17)</f>
      </c>
      <c r="J26" s="7">
        <f>IF(Monitorizacion!$X$17="","",Monitorizacion!$AL$17)</f>
      </c>
      <c r="K26" s="7">
        <f>IF(Monitorizacion!$X$17="","","Nuevo")</f>
      </c>
    </row>
    <row r="27" spans="1:11" x14ac:dyDescent="0.25">
      <c r="A27" s="7">
        <f>IF(Monitorizacion!$AI$17="","",Monitorizacion!$B$17&amp;"|1 hora|Vela/Media|"&amp;TEXT(NOW(),"yyyymmddhhmm"))</f>
      </c>
      <c r="B27" s="7">
        <f>IF(Monitorizacion!$AI$17="","",TEXT(NOW(),"dd/mm/yyyy hh:mm"))</f>
      </c>
      <c r="C27" s="7">
        <f>IF(Monitorizacion!$AI$17="","",Monitorizacion!$B$17)</f>
      </c>
      <c r="D27" s="7">
        <f>IF(Monitorizacion!$AI$17="","",Monitorizacion!$D$17)</f>
      </c>
      <c r="E27" s="7">
        <f>IF(Monitorizacion!$AI$17="","","1 hora")</f>
      </c>
      <c r="F27" s="7">
        <f>IF(Monitorizacion!$AI$17="","","Vela/Media")</f>
      </c>
      <c r="G27" s="7">
        <f>IF(Monitorizacion!$AI$17="","","Vela vs "&amp;Monitorizacion!$E$5)</f>
      </c>
      <c r="H27" s="7">
        <f>IF(Monitorizacion!$AI$17="","",Monitorizacion!$AI$17)</f>
      </c>
      <c r="I27" s="7">
        <f>IF(Monitorizacion!$AI$17="","",Monitorizacion!$AK$17)</f>
      </c>
      <c r="J27" s="7">
        <f>IF(Monitorizacion!$AI$17="","",Monitorizacion!$AL$17)</f>
      </c>
      <c r="K27" s="7">
        <f>IF(Monitorizacion!$AI$17="","","Nuevo")</f>
      </c>
    </row>
    <row r="28" spans="1:11" x14ac:dyDescent="0.25">
      <c r="A28" s="7">
        <f>IF(Monitorizacion!$AJ$17="","",Monitorizacion!$B$17&amp;"|1 hora|Media/Media|"&amp;TEXT(NOW(),"yyyymmddhhmm"))</f>
      </c>
      <c r="B28" s="7">
        <f>IF(Monitorizacion!$AJ$17="","",TEXT(NOW(),"dd/mm/yyyy hh:mm"))</f>
      </c>
      <c r="C28" s="7">
        <f>IF(Monitorizacion!$AJ$17="","",Monitorizacion!$B$17)</f>
      </c>
      <c r="D28" s="7">
        <f>IF(Monitorizacion!$AJ$17="","",Monitorizacion!$D$17)</f>
      </c>
      <c r="E28" s="7">
        <f>IF(Monitorizacion!$AJ$17="","","1 hora")</f>
      </c>
      <c r="F28" s="7">
        <f>IF(Monitorizacion!$AJ$17="","","Media/Media")</f>
      </c>
      <c r="G28" s="7">
        <f>IF(Monitorizacion!$AJ$17="","",Monitorizacion!$E$5&amp;" vs "&amp;Monitorizacion!$E$6)</f>
      </c>
      <c r="H28" s="7">
        <f>IF(Monitorizacion!$AJ$17="","",Monitorizacion!$AJ$17)</f>
      </c>
      <c r="I28" s="7">
        <f>IF(Monitorizacion!$AJ$17="","",Monitorizacion!$AK$17)</f>
      </c>
      <c r="J28" s="7">
        <f>IF(Monitorizacion!$AJ$17="","",Monitorizacion!$AL$17)</f>
      </c>
      <c r="K28" s="7">
        <f>IF(Monitorizacion!$AJ$17="","","Nuevo")</f>
      </c>
    </row>
    <row r="29" spans="1:11" x14ac:dyDescent="0.25">
      <c r="A29" s="7">
        <f>IF(Monitorizacion!$W$18="","",Monitorizacion!$B$18&amp;"|15 min|Vela/Media|"&amp;TEXT(NOW(),"yyyymmddhhmm"))</f>
      </c>
      <c r="B29" s="7">
        <f>IF(Monitorizacion!$W$18="","",TEXT(NOW(),"dd/mm/yyyy hh:mm"))</f>
      </c>
      <c r="C29" s="7">
        <f>IF(Monitorizacion!$W$18="","",Monitorizacion!$B$18)</f>
      </c>
      <c r="D29" s="7">
        <f>IF(Monitorizacion!$W$18="","",Monitorizacion!$D$18)</f>
      </c>
      <c r="E29" s="7">
        <f>IF(Monitorizacion!$W$18="","","15 min")</f>
      </c>
      <c r="F29" s="7">
        <f>IF(Monitorizacion!$W$18="","","Vela/Media")</f>
      </c>
      <c r="G29" s="7">
        <f>IF(Monitorizacion!$W$18="","","Vela vs "&amp;Monitorizacion!$E$5)</f>
      </c>
      <c r="H29" s="7">
        <f>IF(Monitorizacion!$W$18="","",Monitorizacion!$W$18)</f>
      </c>
      <c r="I29" s="7">
        <f>IF(Monitorizacion!$W$18="","",Monitorizacion!$AK$18)</f>
      </c>
      <c r="J29" s="7">
        <f>IF(Monitorizacion!$W$18="","",Monitorizacion!$AL$18)</f>
      </c>
      <c r="K29" s="7">
        <f>IF(Monitorizacion!$W$18="","","Nuevo")</f>
      </c>
    </row>
    <row r="30" spans="1:11" x14ac:dyDescent="0.25">
      <c r="A30" s="7">
        <f>IF(Monitorizacion!$X$18="","",Monitorizacion!$B$18&amp;"|15 min|Media/Media|"&amp;TEXT(NOW(),"yyyymmddhhmm"))</f>
      </c>
      <c r="B30" s="7">
        <f>IF(Monitorizacion!$X$18="","",TEXT(NOW(),"dd/mm/yyyy hh:mm"))</f>
      </c>
      <c r="C30" s="7">
        <f>IF(Monitorizacion!$X$18="","",Monitorizacion!$B$18)</f>
      </c>
      <c r="D30" s="7">
        <f>IF(Monitorizacion!$X$18="","",Monitorizacion!$D$18)</f>
      </c>
      <c r="E30" s="7">
        <f>IF(Monitorizacion!$X$18="","","15 min")</f>
      </c>
      <c r="F30" s="7">
        <f>IF(Monitorizacion!$X$18="","","Media/Media")</f>
      </c>
      <c r="G30" s="7">
        <f>IF(Monitorizacion!$X$18="","",Monitorizacion!$E$5&amp;" vs "&amp;Monitorizacion!$E$6)</f>
      </c>
      <c r="H30" s="7">
        <f>IF(Monitorizacion!$X$18="","",Monitorizacion!$X$18)</f>
      </c>
      <c r="I30" s="7">
        <f>IF(Monitorizacion!$X$18="","",Monitorizacion!$AK$18)</f>
      </c>
      <c r="J30" s="7">
        <f>IF(Monitorizacion!$X$18="","",Monitorizacion!$AL$18)</f>
      </c>
      <c r="K30" s="7">
        <f>IF(Monitorizacion!$X$18="","","Nuevo")</f>
      </c>
    </row>
    <row r="31" spans="1:11" x14ac:dyDescent="0.25">
      <c r="A31" s="7">
        <f>IF(Monitorizacion!$AI$18="","",Monitorizacion!$B$18&amp;"|1 hora|Vela/Media|"&amp;TEXT(NOW(),"yyyymmddhhmm"))</f>
      </c>
      <c r="B31" s="7">
        <f>IF(Monitorizacion!$AI$18="","",TEXT(NOW(),"dd/mm/yyyy hh:mm"))</f>
      </c>
      <c r="C31" s="7">
        <f>IF(Monitorizacion!$AI$18="","",Monitorizacion!$B$18)</f>
      </c>
      <c r="D31" s="7">
        <f>IF(Monitorizacion!$AI$18="","",Monitorizacion!$D$18)</f>
      </c>
      <c r="E31" s="7">
        <f>IF(Monitorizacion!$AI$18="","","1 hora")</f>
      </c>
      <c r="F31" s="7">
        <f>IF(Monitorizacion!$AI$18="","","Vela/Media")</f>
      </c>
      <c r="G31" s="7">
        <f>IF(Monitorizacion!$AI$18="","","Vela vs "&amp;Monitorizacion!$E$5)</f>
      </c>
      <c r="H31" s="7">
        <f>IF(Monitorizacion!$AI$18="","",Monitorizacion!$AI$18)</f>
      </c>
      <c r="I31" s="7">
        <f>IF(Monitorizacion!$AI$18="","",Monitorizacion!$AK$18)</f>
      </c>
      <c r="J31" s="7">
        <f>IF(Monitorizacion!$AI$18="","",Monitorizacion!$AL$18)</f>
      </c>
      <c r="K31" s="7">
        <f>IF(Monitorizacion!$AI$18="","","Nuevo")</f>
      </c>
    </row>
    <row r="32" spans="1:11" x14ac:dyDescent="0.25">
      <c r="A32" s="7">
        <f>IF(Monitorizacion!$AJ$18="","",Monitorizacion!$B$18&amp;"|1 hora|Media/Media|"&amp;TEXT(NOW(),"yyyymmddhhmm"))</f>
      </c>
      <c r="B32" s="7">
        <f>IF(Monitorizacion!$AJ$18="","",TEXT(NOW(),"dd/mm/yyyy hh:mm"))</f>
      </c>
      <c r="C32" s="7">
        <f>IF(Monitorizacion!$AJ$18="","",Monitorizacion!$B$18)</f>
      </c>
      <c r="D32" s="7">
        <f>IF(Monitorizacion!$AJ$18="","",Monitorizacion!$D$18)</f>
      </c>
      <c r="E32" s="7">
        <f>IF(Monitorizacion!$AJ$18="","","1 hora")</f>
      </c>
      <c r="F32" s="7">
        <f>IF(Monitorizacion!$AJ$18="","","Media/Media")</f>
      </c>
      <c r="G32" s="7">
        <f>IF(Monitorizacion!$AJ$18="","",Monitorizacion!$E$5&amp;" vs "&amp;Monitorizacion!$E$6)</f>
      </c>
      <c r="H32" s="7">
        <f>IF(Monitorizacion!$AJ$18="","",Monitorizacion!$AJ$18)</f>
      </c>
      <c r="I32" s="7">
        <f>IF(Monitorizacion!$AJ$18="","",Monitorizacion!$AK$18)</f>
      </c>
      <c r="J32" s="7">
        <f>IF(Monitorizacion!$AJ$18="","",Monitorizacion!$AL$18)</f>
      </c>
      <c r="K32" s="7">
        <f>IF(Monitorizacion!$AJ$18="","","Nuevo")</f>
      </c>
    </row>
    <row r="33" spans="1:11" x14ac:dyDescent="0.25">
      <c r="A33" s="7">
        <f>IF(Monitorizacion!$W$19="","",Monitorizacion!$B$19&amp;"|15 min|Vela/Media|"&amp;TEXT(NOW(),"yyyymmddhhmm"))</f>
      </c>
      <c r="B33" s="7">
        <f>IF(Monitorizacion!$W$19="","",TEXT(NOW(),"dd/mm/yyyy hh:mm"))</f>
      </c>
      <c r="C33" s="7">
        <f>IF(Monitorizacion!$W$19="","",Monitorizacion!$B$19)</f>
      </c>
      <c r="D33" s="7">
        <f>IF(Monitorizacion!$W$19="","",Monitorizacion!$D$19)</f>
      </c>
      <c r="E33" s="7">
        <f>IF(Monitorizacion!$W$19="","","15 min")</f>
      </c>
      <c r="F33" s="7">
        <f>IF(Monitorizacion!$W$19="","","Vela/Media")</f>
      </c>
      <c r="G33" s="7">
        <f>IF(Monitorizacion!$W$19="","","Vela vs "&amp;Monitorizacion!$E$5)</f>
      </c>
      <c r="H33" s="7">
        <f>IF(Monitorizacion!$W$19="","",Monitorizacion!$W$19)</f>
      </c>
      <c r="I33" s="7">
        <f>IF(Monitorizacion!$W$19="","",Monitorizacion!$AK$19)</f>
      </c>
      <c r="J33" s="7">
        <f>IF(Monitorizacion!$W$19="","",Monitorizacion!$AL$19)</f>
      </c>
      <c r="K33" s="7">
        <f>IF(Monitorizacion!$W$19="","","Nuevo")</f>
      </c>
    </row>
    <row r="34" spans="1:11" x14ac:dyDescent="0.25">
      <c r="A34" s="7" t="str">
        <f>IF(Monitorizacion!$X$19="","",Monitorizacion!$B$19&amp;"|15 min|Media/Media|"&amp;TEXT(NOW(),"yyyymmddhhmm"))</f>
        <v>Euro / Libra|15 min|Media/Media|yyyy07312015</v>
      </c>
      <c r="B34" s="7" t="str">
        <f>IF(Monitorizacion!$X$19="","",TEXT(NOW(),"dd/mm/yyyy hh:mm"))</f>
        <v>31/07/yyyy 20:15</v>
      </c>
      <c r="C34" s="7" t="str">
        <f>IF(Monitorizacion!$X$19="","",Monitorizacion!$B$19)</f>
        <v>Euro / Libra</v>
      </c>
      <c r="D34" s="7" t="str">
        <f>IF(Monitorizacion!$X$19="","",Monitorizacion!$D$19)</f>
        <v>OTC/Interbancario</v>
      </c>
      <c r="E34" s="7" t="str">
        <f>IF(Monitorizacion!$X$19="","","15 min")</f>
        <v>15 min</v>
      </c>
      <c r="F34" s="7" t="str">
        <f>IF(Monitorizacion!$X$19="","","Media/Media")</f>
        <v>Media/Media</v>
      </c>
      <c r="G34" s="7" t="str">
        <f>IF(Monitorizacion!$X$19="","",Monitorizacion!$E$5&amp;" vs "&amp;Monitorizacion!$E$6)</f>
        <v>EMA 9 vs EMA 20</v>
      </c>
      <c r="H34" s="7" t="str">
        <f>IF(Monitorizacion!$X$19="","",Monitorizacion!$X$19)</f>
        <v>ALCISTA</v>
      </c>
      <c r="I34" s="7">
        <f>IF(Monitorizacion!$X$19="","",Monitorizacion!$AK$19)</f>
        <v>1</v>
      </c>
      <c r="J34" s="7" t="str">
        <f>IF(Monitorizacion!$X$19="","",Monitorizacion!$AL$19)</f>
        <v>Cruce alcista detectado en Euro / Libra (OTC/Interbancario). EMA 9 ha cruzado EMA 20 en 15 min. Nivel: 1. 31/07/yyyy 20:15</v>
      </c>
      <c r="K34" s="7" t="str">
        <f>IF(Monitorizacion!$X$19="","","Nuevo")</f>
        <v>Nuevo</v>
      </c>
    </row>
    <row r="35" spans="1:11" x14ac:dyDescent="0.25">
      <c r="A35" s="7" t="str">
        <f>IF(Monitorizacion!$AI$19="","",Monitorizacion!$B$19&amp;"|1 hora|Vela/Media|"&amp;TEXT(NOW(),"yyyymmddhhmm"))</f>
        <v>Euro / Libra|1 hora|Vela/Media|yyyy07312015</v>
      </c>
      <c r="B35" s="7" t="str">
        <f>IF(Monitorizacion!$AI$19="","",TEXT(NOW(),"dd/mm/yyyy hh:mm"))</f>
        <v>31/07/yyyy 20:15</v>
      </c>
      <c r="C35" s="7" t="str">
        <f>IF(Monitorizacion!$AI$19="","",Monitorizacion!$B$19)</f>
        <v>Euro / Libra</v>
      </c>
      <c r="D35" s="7" t="str">
        <f>IF(Monitorizacion!$AI$19="","",Monitorizacion!$D$19)</f>
        <v>OTC/Interbancario</v>
      </c>
      <c r="E35" s="7" t="str">
        <f>IF(Monitorizacion!$AI$19="","","1 hora")</f>
        <v>1 hora</v>
      </c>
      <c r="F35" s="7" t="str">
        <f>IF(Monitorizacion!$AI$19="","","Vela/Media")</f>
        <v>Vela/Media</v>
      </c>
      <c r="G35" s="7" t="str">
        <f>IF(Monitorizacion!$AI$19="","","Vela vs "&amp;Monitorizacion!$E$5)</f>
        <v>Vela vs EMA 9</v>
      </c>
      <c r="H35" s="7" t="str">
        <f>IF(Monitorizacion!$AI$19="","",Monitorizacion!$AI$19)</f>
        <v>ALCISTA</v>
      </c>
      <c r="I35" s="7">
        <f>IF(Monitorizacion!$AI$19="","",Monitorizacion!$AK$19)</f>
        <v>1</v>
      </c>
      <c r="J35" s="7" t="str">
        <f>IF(Monitorizacion!$AI$19="","",Monitorizacion!$AL$19)</f>
        <v>Cruce alcista detectado en Euro / Libra (OTC/Interbancario). EMA 9 ha cruzado EMA 20 en 15 min. Nivel: 1. 31/07/yyyy 20:15</v>
      </c>
      <c r="K35" s="7" t="str">
        <f>IF(Monitorizacion!$AI$19="","","Nuevo")</f>
        <v>Nuevo</v>
      </c>
    </row>
    <row r="36" spans="1:11" x14ac:dyDescent="0.25">
      <c r="A36" s="7">
        <f>IF(Monitorizacion!$AJ$19="","",Monitorizacion!$B$19&amp;"|1 hora|Media/Media|"&amp;TEXT(NOW(),"yyyymmddhhmm"))</f>
      </c>
      <c r="B36" s="7">
        <f>IF(Monitorizacion!$AJ$19="","",TEXT(NOW(),"dd/mm/yyyy hh:mm"))</f>
      </c>
      <c r="C36" s="7">
        <f>IF(Monitorizacion!$AJ$19="","",Monitorizacion!$B$19)</f>
      </c>
      <c r="D36" s="7">
        <f>IF(Monitorizacion!$AJ$19="","",Monitorizacion!$D$19)</f>
      </c>
      <c r="E36" s="7">
        <f>IF(Monitorizacion!$AJ$19="","","1 hora")</f>
      </c>
      <c r="F36" s="7">
        <f>IF(Monitorizacion!$AJ$19="","","Media/Media")</f>
      </c>
      <c r="G36" s="7">
        <f>IF(Monitorizacion!$AJ$19="","",Monitorizacion!$E$5&amp;" vs "&amp;Monitorizacion!$E$6)</f>
      </c>
      <c r="H36" s="7">
        <f>IF(Monitorizacion!$AJ$19="","",Monitorizacion!$AJ$19)</f>
      </c>
      <c r="I36" s="7">
        <f>IF(Monitorizacion!$AJ$19="","",Monitorizacion!$AK$19)</f>
      </c>
      <c r="J36" s="7">
        <f>IF(Monitorizacion!$AJ$19="","",Monitorizacion!$AL$19)</f>
      </c>
      <c r="K36" s="7">
        <f>IF(Monitorizacion!$AJ$19="","","Nuevo")</f>
      </c>
    </row>
    <row r="37" spans="1:11" x14ac:dyDescent="0.25">
      <c r="A37" s="7" t="str">
        <f>IF(Monitorizacion!$W$20="","",Monitorizacion!$B$20&amp;"|15 min|Vela/Media|"&amp;TEXT(NOW(),"yyyymmddhhmm"))</f>
        <v>Banco Santander|15 min|Vela/Media|yyyy07312015</v>
      </c>
      <c r="B37" s="7" t="str">
        <f>IF(Monitorizacion!$W$20="","",TEXT(NOW(),"dd/mm/yyyy hh:mm"))</f>
        <v>31/07/yyyy 20:15</v>
      </c>
      <c r="C37" s="7" t="str">
        <f>IF(Monitorizacion!$W$20="","",Monitorizacion!$B$20)</f>
        <v>Banco Santander</v>
      </c>
      <c r="D37" s="7" t="str">
        <f>IF(Monitorizacion!$W$20="","",Monitorizacion!$D$20)</f>
        <v>BME (Madrid)</v>
      </c>
      <c r="E37" s="7" t="str">
        <f>IF(Monitorizacion!$W$20="","","15 min")</f>
        <v>15 min</v>
      </c>
      <c r="F37" s="7" t="str">
        <f>IF(Monitorizacion!$W$20="","","Vela/Media")</f>
        <v>Vela/Media</v>
      </c>
      <c r="G37" s="7" t="str">
        <f>IF(Monitorizacion!$W$20="","","Vela vs "&amp;Monitorizacion!$E$5)</f>
        <v>Vela vs EMA 9</v>
      </c>
      <c r="H37" s="7" t="str">
        <f>IF(Monitorizacion!$W$20="","",Monitorizacion!$W$20)</f>
        <v>ALCISTA</v>
      </c>
      <c r="I37" s="7" t="str">
        <f>IF(Monitorizacion!$W$20="","",Monitorizacion!$AK$20)</f>
        <v>Sin clasificar</v>
      </c>
      <c r="J37" s="7" t="str">
        <f>IF(Monitorizacion!$W$20="","",Monitorizacion!$AL$20)</f>
        <v>Cruce alcista detectado en Banco Santander (BME (Madrid)). La vela ha cruzado EMA 9 en 15 min. Nivel: Sin clasificar. Precio: 012. 31/07/yyyy 20:15</v>
      </c>
      <c r="K37" s="7" t="str">
        <f>IF(Monitorizacion!$W$20="","","Nuevo")</f>
        <v>Nuevo</v>
      </c>
    </row>
    <row r="38" spans="1:11" x14ac:dyDescent="0.25">
      <c r="A38" s="7">
        <f>IF(Monitorizacion!$X$20="","",Monitorizacion!$B$20&amp;"|15 min|Media/Media|"&amp;TEXT(NOW(),"yyyymmddhhmm"))</f>
      </c>
      <c r="B38" s="7">
        <f>IF(Monitorizacion!$X$20="","",TEXT(NOW(),"dd/mm/yyyy hh:mm"))</f>
      </c>
      <c r="C38" s="7">
        <f>IF(Monitorizacion!$X$20="","",Monitorizacion!$B$20)</f>
      </c>
      <c r="D38" s="7">
        <f>IF(Monitorizacion!$X$20="","",Monitorizacion!$D$20)</f>
      </c>
      <c r="E38" s="7">
        <f>IF(Monitorizacion!$X$20="","","15 min")</f>
      </c>
      <c r="F38" s="7">
        <f>IF(Monitorizacion!$X$20="","","Media/Media")</f>
      </c>
      <c r="G38" s="7">
        <f>IF(Monitorizacion!$X$20="","",Monitorizacion!$E$5&amp;" vs "&amp;Monitorizacion!$E$6)</f>
      </c>
      <c r="H38" s="7">
        <f>IF(Monitorizacion!$X$20="","",Monitorizacion!$X$20)</f>
      </c>
      <c r="I38" s="7">
        <f>IF(Monitorizacion!$X$20="","",Monitorizacion!$AK$20)</f>
      </c>
      <c r="J38" s="7">
        <f>IF(Monitorizacion!$X$20="","",Monitorizacion!$AL$20)</f>
      </c>
      <c r="K38" s="7">
        <f>IF(Monitorizacion!$X$20="","","Nuevo")</f>
      </c>
    </row>
    <row r="39" spans="1:11" x14ac:dyDescent="0.25">
      <c r="A39" s="7">
        <f>IF(Monitorizacion!$AI$20="","",Monitorizacion!$B$20&amp;"|1 hora|Vela/Media|"&amp;TEXT(NOW(),"yyyymmddhhmm"))</f>
      </c>
      <c r="B39" s="7">
        <f>IF(Monitorizacion!$AI$20="","",TEXT(NOW(),"dd/mm/yyyy hh:mm"))</f>
      </c>
      <c r="C39" s="7">
        <f>IF(Monitorizacion!$AI$20="","",Monitorizacion!$B$20)</f>
      </c>
      <c r="D39" s="7">
        <f>IF(Monitorizacion!$AI$20="","",Monitorizacion!$D$20)</f>
      </c>
      <c r="E39" s="7">
        <f>IF(Monitorizacion!$AI$20="","","1 hora")</f>
      </c>
      <c r="F39" s="7">
        <f>IF(Monitorizacion!$AI$20="","","Vela/Media")</f>
      </c>
      <c r="G39" s="7">
        <f>IF(Monitorizacion!$AI$20="","","Vela vs "&amp;Monitorizacion!$E$5)</f>
      </c>
      <c r="H39" s="7">
        <f>IF(Monitorizacion!$AI$20="","",Monitorizacion!$AI$20)</f>
      </c>
      <c r="I39" s="7">
        <f>IF(Monitorizacion!$AI$20="","",Monitorizacion!$AK$20)</f>
      </c>
      <c r="J39" s="7">
        <f>IF(Monitorizacion!$AI$20="","",Monitorizacion!$AL$20)</f>
      </c>
      <c r="K39" s="7">
        <f>IF(Monitorizacion!$AI$20="","","Nuevo")</f>
      </c>
    </row>
    <row r="40" spans="1:11" x14ac:dyDescent="0.25">
      <c r="A40" s="7">
        <f>IF(Monitorizacion!$AJ$20="","",Monitorizacion!$B$20&amp;"|1 hora|Media/Media|"&amp;TEXT(NOW(),"yyyymmddhhmm"))</f>
      </c>
      <c r="B40" s="7">
        <f>IF(Monitorizacion!$AJ$20="","",TEXT(NOW(),"dd/mm/yyyy hh:mm"))</f>
      </c>
      <c r="C40" s="7">
        <f>IF(Monitorizacion!$AJ$20="","",Monitorizacion!$B$20)</f>
      </c>
      <c r="D40" s="7">
        <f>IF(Monitorizacion!$AJ$20="","",Monitorizacion!$D$20)</f>
      </c>
      <c r="E40" s="7">
        <f>IF(Monitorizacion!$AJ$20="","","1 hora")</f>
      </c>
      <c r="F40" s="7">
        <f>IF(Monitorizacion!$AJ$20="","","Media/Media")</f>
      </c>
      <c r="G40" s="7">
        <f>IF(Monitorizacion!$AJ$20="","",Monitorizacion!$E$5&amp;" vs "&amp;Monitorizacion!$E$6)</f>
      </c>
      <c r="H40" s="7">
        <f>IF(Monitorizacion!$AJ$20="","",Monitorizacion!$AJ$20)</f>
      </c>
      <c r="I40" s="7">
        <f>IF(Monitorizacion!$AJ$20="","",Monitorizacion!$AK$20)</f>
      </c>
      <c r="J40" s="7">
        <f>IF(Monitorizacion!$AJ$20="","",Monitorizacion!$AL$20)</f>
      </c>
      <c r="K40" s="7">
        <f>IF(Monitorizacion!$AJ$20="","","Nuevo")</f>
      </c>
    </row>
    <row r="41" spans="1:11" x14ac:dyDescent="0.25">
      <c r="A41" s="7">
        <f>IF(Monitorizacion!$W$21="","",Monitorizacion!$B$21&amp;"|15 min|Vela/Media|"&amp;TEXT(NOW(),"yyyymmddhhmm"))</f>
      </c>
      <c r="B41" s="7">
        <f>IF(Monitorizacion!$W$21="","",TEXT(NOW(),"dd/mm/yyyy hh:mm"))</f>
      </c>
      <c r="C41" s="7">
        <f>IF(Monitorizacion!$W$21="","",Monitorizacion!$B$21)</f>
      </c>
      <c r="D41" s="7">
        <f>IF(Monitorizacion!$W$21="","",Monitorizacion!$D$21)</f>
      </c>
      <c r="E41" s="7">
        <f>IF(Monitorizacion!$W$21="","","15 min")</f>
      </c>
      <c r="F41" s="7">
        <f>IF(Monitorizacion!$W$21="","","Vela/Media")</f>
      </c>
      <c r="G41" s="7">
        <f>IF(Monitorizacion!$W$21="","","Vela vs "&amp;Monitorizacion!$E$5)</f>
      </c>
      <c r="H41" s="7">
        <f>IF(Monitorizacion!$W$21="","",Monitorizacion!$W$21)</f>
      </c>
      <c r="I41" s="7">
        <f>IF(Monitorizacion!$W$21="","",Monitorizacion!$AK$21)</f>
      </c>
      <c r="J41" s="7">
        <f>IF(Monitorizacion!$W$21="","",Monitorizacion!$AL$21)</f>
      </c>
      <c r="K41" s="7">
        <f>IF(Monitorizacion!$W$21="","","Nuevo")</f>
      </c>
    </row>
    <row r="42" spans="1:11" x14ac:dyDescent="0.25">
      <c r="A42" s="7">
        <f>IF(Monitorizacion!$X$21="","",Monitorizacion!$B$21&amp;"|15 min|Media/Media|"&amp;TEXT(NOW(),"yyyymmddhhmm"))</f>
      </c>
      <c r="B42" s="7">
        <f>IF(Monitorizacion!$X$21="","",TEXT(NOW(),"dd/mm/yyyy hh:mm"))</f>
      </c>
      <c r="C42" s="7">
        <f>IF(Monitorizacion!$X$21="","",Monitorizacion!$B$21)</f>
      </c>
      <c r="D42" s="7">
        <f>IF(Monitorizacion!$X$21="","",Monitorizacion!$D$21)</f>
      </c>
      <c r="E42" s="7">
        <f>IF(Monitorizacion!$X$21="","","15 min")</f>
      </c>
      <c r="F42" s="7">
        <f>IF(Monitorizacion!$X$21="","","Media/Media")</f>
      </c>
      <c r="G42" s="7">
        <f>IF(Monitorizacion!$X$21="","",Monitorizacion!$E$5&amp;" vs "&amp;Monitorizacion!$E$6)</f>
      </c>
      <c r="H42" s="7">
        <f>IF(Monitorizacion!$X$21="","",Monitorizacion!$X$21)</f>
      </c>
      <c r="I42" s="7">
        <f>IF(Monitorizacion!$X$21="","",Monitorizacion!$AK$21)</f>
      </c>
      <c r="J42" s="7">
        <f>IF(Monitorizacion!$X$21="","",Monitorizacion!$AL$21)</f>
      </c>
      <c r="K42" s="7">
        <f>IF(Monitorizacion!$X$21="","","Nuevo")</f>
      </c>
    </row>
    <row r="43" spans="1:11" x14ac:dyDescent="0.25">
      <c r="A43" s="7">
        <f>IF(Monitorizacion!$AI$21="","",Monitorizacion!$B$21&amp;"|1 hora|Vela/Media|"&amp;TEXT(NOW(),"yyyymmddhhmm"))</f>
      </c>
      <c r="B43" s="7">
        <f>IF(Monitorizacion!$AI$21="","",TEXT(NOW(),"dd/mm/yyyy hh:mm"))</f>
      </c>
      <c r="C43" s="7">
        <f>IF(Monitorizacion!$AI$21="","",Monitorizacion!$B$21)</f>
      </c>
      <c r="D43" s="7">
        <f>IF(Monitorizacion!$AI$21="","",Monitorizacion!$D$21)</f>
      </c>
      <c r="E43" s="7">
        <f>IF(Monitorizacion!$AI$21="","","1 hora")</f>
      </c>
      <c r="F43" s="7">
        <f>IF(Monitorizacion!$AI$21="","","Vela/Media")</f>
      </c>
      <c r="G43" s="7">
        <f>IF(Monitorizacion!$AI$21="","","Vela vs "&amp;Monitorizacion!$E$5)</f>
      </c>
      <c r="H43" s="7">
        <f>IF(Monitorizacion!$AI$21="","",Monitorizacion!$AI$21)</f>
      </c>
      <c r="I43" s="7">
        <f>IF(Monitorizacion!$AI$21="","",Monitorizacion!$AK$21)</f>
      </c>
      <c r="J43" s="7">
        <f>IF(Monitorizacion!$AI$21="","",Monitorizacion!$AL$21)</f>
      </c>
      <c r="K43" s="7">
        <f>IF(Monitorizacion!$AI$21="","","Nuevo")</f>
      </c>
    </row>
    <row r="44" spans="1:11" x14ac:dyDescent="0.25">
      <c r="A44" s="7">
        <f>IF(Monitorizacion!$AJ$21="","",Monitorizacion!$B$21&amp;"|1 hora|Media/Media|"&amp;TEXT(NOW(),"yyyymmddhhmm"))</f>
      </c>
      <c r="B44" s="7">
        <f>IF(Monitorizacion!$AJ$21="","",TEXT(NOW(),"dd/mm/yyyy hh:mm"))</f>
      </c>
      <c r="C44" s="7">
        <f>IF(Monitorizacion!$AJ$21="","",Monitorizacion!$B$21)</f>
      </c>
      <c r="D44" s="7">
        <f>IF(Monitorizacion!$AJ$21="","",Monitorizacion!$D$21)</f>
      </c>
      <c r="E44" s="7">
        <f>IF(Monitorizacion!$AJ$21="","","1 hora")</f>
      </c>
      <c r="F44" s="7">
        <f>IF(Monitorizacion!$AJ$21="","","Media/Media")</f>
      </c>
      <c r="G44" s="7">
        <f>IF(Monitorizacion!$AJ$21="","",Monitorizacion!$E$5&amp;" vs "&amp;Monitorizacion!$E$6)</f>
      </c>
      <c r="H44" s="7">
        <f>IF(Monitorizacion!$AJ$21="","",Monitorizacion!$AJ$21)</f>
      </c>
      <c r="I44" s="7">
        <f>IF(Monitorizacion!$AJ$21="","",Monitorizacion!$AK$21)</f>
      </c>
      <c r="J44" s="7">
        <f>IF(Monitorizacion!$AJ$21="","",Monitorizacion!$AL$21)</f>
      </c>
      <c r="K44" s="7">
        <f>IF(Monitorizacion!$AJ$21="","","Nuevo")</f>
      </c>
    </row>
    <row r="45" spans="1:11" x14ac:dyDescent="0.25">
      <c r="A45" s="7">
        <f>IF(Monitorizacion!$W$22="","",Monitorizacion!$B$22&amp;"|15 min|Vela/Media|"&amp;TEXT(NOW(),"yyyymmddhhmm"))</f>
      </c>
      <c r="B45" s="7">
        <f>IF(Monitorizacion!$W$22="","",TEXT(NOW(),"dd/mm/yyyy hh:mm"))</f>
      </c>
      <c r="C45" s="7">
        <f>IF(Monitorizacion!$W$22="","",Monitorizacion!$B$22)</f>
      </c>
      <c r="D45" s="7">
        <f>IF(Monitorizacion!$W$22="","",Monitorizacion!$D$22)</f>
      </c>
      <c r="E45" s="7">
        <f>IF(Monitorizacion!$W$22="","","15 min")</f>
      </c>
      <c r="F45" s="7">
        <f>IF(Monitorizacion!$W$22="","","Vela/Media")</f>
      </c>
      <c r="G45" s="7">
        <f>IF(Monitorizacion!$W$22="","","Vela vs "&amp;Monitorizacion!$E$5)</f>
      </c>
      <c r="H45" s="7">
        <f>IF(Monitorizacion!$W$22="","",Monitorizacion!$W$22)</f>
      </c>
      <c r="I45" s="7">
        <f>IF(Monitorizacion!$W$22="","",Monitorizacion!$AK$22)</f>
      </c>
      <c r="J45" s="7">
        <f>IF(Monitorizacion!$W$22="","",Monitorizacion!$AL$22)</f>
      </c>
      <c r="K45" s="7">
        <f>IF(Monitorizacion!$W$22="","","Nuevo")</f>
      </c>
    </row>
    <row r="46" spans="1:11" x14ac:dyDescent="0.25">
      <c r="A46" s="7">
        <f>IF(Monitorizacion!$X$22="","",Monitorizacion!$B$22&amp;"|15 min|Media/Media|"&amp;TEXT(NOW(),"yyyymmddhhmm"))</f>
      </c>
      <c r="B46" s="7">
        <f>IF(Monitorizacion!$X$22="","",TEXT(NOW(),"dd/mm/yyyy hh:mm"))</f>
      </c>
      <c r="C46" s="7">
        <f>IF(Monitorizacion!$X$22="","",Monitorizacion!$B$22)</f>
      </c>
      <c r="D46" s="7">
        <f>IF(Monitorizacion!$X$22="","",Monitorizacion!$D$22)</f>
      </c>
      <c r="E46" s="7">
        <f>IF(Monitorizacion!$X$22="","","15 min")</f>
      </c>
      <c r="F46" s="7">
        <f>IF(Monitorizacion!$X$22="","","Media/Media")</f>
      </c>
      <c r="G46" s="7">
        <f>IF(Monitorizacion!$X$22="","",Monitorizacion!$E$5&amp;" vs "&amp;Monitorizacion!$E$6)</f>
      </c>
      <c r="H46" s="7">
        <f>IF(Monitorizacion!$X$22="","",Monitorizacion!$X$22)</f>
      </c>
      <c r="I46" s="7">
        <f>IF(Monitorizacion!$X$22="","",Monitorizacion!$AK$22)</f>
      </c>
      <c r="J46" s="7">
        <f>IF(Monitorizacion!$X$22="","",Monitorizacion!$AL$22)</f>
      </c>
      <c r="K46" s="7">
        <f>IF(Monitorizacion!$X$22="","","Nuevo")</f>
      </c>
    </row>
    <row r="47" spans="1:11" x14ac:dyDescent="0.25">
      <c r="A47" s="7">
        <f>IF(Monitorizacion!$AI$22="","",Monitorizacion!$B$22&amp;"|1 hora|Vela/Media|"&amp;TEXT(NOW(),"yyyymmddhhmm"))</f>
      </c>
      <c r="B47" s="7">
        <f>IF(Monitorizacion!$AI$22="","",TEXT(NOW(),"dd/mm/yyyy hh:mm"))</f>
      </c>
      <c r="C47" s="7">
        <f>IF(Monitorizacion!$AI$22="","",Monitorizacion!$B$22)</f>
      </c>
      <c r="D47" s="7">
        <f>IF(Monitorizacion!$AI$22="","",Monitorizacion!$D$22)</f>
      </c>
      <c r="E47" s="7">
        <f>IF(Monitorizacion!$AI$22="","","1 hora")</f>
      </c>
      <c r="F47" s="7">
        <f>IF(Monitorizacion!$AI$22="","","Vela/Media")</f>
      </c>
      <c r="G47" s="7">
        <f>IF(Monitorizacion!$AI$22="","","Vela vs "&amp;Monitorizacion!$E$5)</f>
      </c>
      <c r="H47" s="7">
        <f>IF(Monitorizacion!$AI$22="","",Monitorizacion!$AI$22)</f>
      </c>
      <c r="I47" s="7">
        <f>IF(Monitorizacion!$AI$22="","",Monitorizacion!$AK$22)</f>
      </c>
      <c r="J47" s="7">
        <f>IF(Monitorizacion!$AI$22="","",Monitorizacion!$AL$22)</f>
      </c>
      <c r="K47" s="7">
        <f>IF(Monitorizacion!$AI$22="","","Nuevo")</f>
      </c>
    </row>
    <row r="48" spans="1:11" x14ac:dyDescent="0.25">
      <c r="A48" s="7">
        <f>IF(Monitorizacion!$AJ$22="","",Monitorizacion!$B$22&amp;"|1 hora|Media/Media|"&amp;TEXT(NOW(),"yyyymmddhhmm"))</f>
      </c>
      <c r="B48" s="7">
        <f>IF(Monitorizacion!$AJ$22="","",TEXT(NOW(),"dd/mm/yyyy hh:mm"))</f>
      </c>
      <c r="C48" s="7">
        <f>IF(Monitorizacion!$AJ$22="","",Monitorizacion!$B$22)</f>
      </c>
      <c r="D48" s="7">
        <f>IF(Monitorizacion!$AJ$22="","",Monitorizacion!$D$22)</f>
      </c>
      <c r="E48" s="7">
        <f>IF(Monitorizacion!$AJ$22="","","1 hora")</f>
      </c>
      <c r="F48" s="7">
        <f>IF(Monitorizacion!$AJ$22="","","Media/Media")</f>
      </c>
      <c r="G48" s="7">
        <f>IF(Monitorizacion!$AJ$22="","",Monitorizacion!$E$5&amp;" vs "&amp;Monitorizacion!$E$6)</f>
      </c>
      <c r="H48" s="7">
        <f>IF(Monitorizacion!$AJ$22="","",Monitorizacion!$AJ$22)</f>
      </c>
      <c r="I48" s="7">
        <f>IF(Monitorizacion!$AJ$22="","",Monitorizacion!$AK$22)</f>
      </c>
      <c r="J48" s="7">
        <f>IF(Monitorizacion!$AJ$22="","",Monitorizacion!$AL$22)</f>
      </c>
      <c r="K48" s="7">
        <f>IF(Monitorizacion!$AJ$22="","","Nuevo")</f>
      </c>
    </row>
    <row r="49" spans="1:11" x14ac:dyDescent="0.25">
      <c r="A49" s="7">
        <f>IF(Monitorizacion!$W$23="","",Monitorizacion!$B$23&amp;"|15 min|Vela/Media|"&amp;TEXT(NOW(),"yyyymmddhhmm"))</f>
      </c>
      <c r="B49" s="7">
        <f>IF(Monitorizacion!$W$23="","",TEXT(NOW(),"dd/mm/yyyy hh:mm"))</f>
      </c>
      <c r="C49" s="7">
        <f>IF(Monitorizacion!$W$23="","",Monitorizacion!$B$23)</f>
      </c>
      <c r="D49" s="7">
        <f>IF(Monitorizacion!$W$23="","",Monitorizacion!$D$23)</f>
      </c>
      <c r="E49" s="7">
        <f>IF(Monitorizacion!$W$23="","","15 min")</f>
      </c>
      <c r="F49" s="7">
        <f>IF(Monitorizacion!$W$23="","","Vela/Media")</f>
      </c>
      <c r="G49" s="7">
        <f>IF(Monitorizacion!$W$23="","","Vela vs "&amp;Monitorizacion!$E$5)</f>
      </c>
      <c r="H49" s="7">
        <f>IF(Monitorizacion!$W$23="","",Monitorizacion!$W$23)</f>
      </c>
      <c r="I49" s="7">
        <f>IF(Monitorizacion!$W$23="","",Monitorizacion!$AK$23)</f>
      </c>
      <c r="J49" s="7">
        <f>IF(Monitorizacion!$W$23="","",Monitorizacion!$AL$23)</f>
      </c>
      <c r="K49" s="7">
        <f>IF(Monitorizacion!$W$23="","","Nuevo")</f>
      </c>
    </row>
    <row r="50" spans="1:11" x14ac:dyDescent="0.25">
      <c r="A50" s="7">
        <f>IF(Monitorizacion!$X$23="","",Monitorizacion!$B$23&amp;"|15 min|Media/Media|"&amp;TEXT(NOW(),"yyyymmddhhmm"))</f>
      </c>
      <c r="B50" s="7">
        <f>IF(Monitorizacion!$X$23="","",TEXT(NOW(),"dd/mm/yyyy hh:mm"))</f>
      </c>
      <c r="C50" s="7">
        <f>IF(Monitorizacion!$X$23="","",Monitorizacion!$B$23)</f>
      </c>
      <c r="D50" s="7">
        <f>IF(Monitorizacion!$X$23="","",Monitorizacion!$D$23)</f>
      </c>
      <c r="E50" s="7">
        <f>IF(Monitorizacion!$X$23="","","15 min")</f>
      </c>
      <c r="F50" s="7">
        <f>IF(Monitorizacion!$X$23="","","Media/Media")</f>
      </c>
      <c r="G50" s="7">
        <f>IF(Monitorizacion!$X$23="","",Monitorizacion!$E$5&amp;" vs "&amp;Monitorizacion!$E$6)</f>
      </c>
      <c r="H50" s="7">
        <f>IF(Monitorizacion!$X$23="","",Monitorizacion!$X$23)</f>
      </c>
      <c r="I50" s="7">
        <f>IF(Monitorizacion!$X$23="","",Monitorizacion!$AK$23)</f>
      </c>
      <c r="J50" s="7">
        <f>IF(Monitorizacion!$X$23="","",Monitorizacion!$AL$23)</f>
      </c>
      <c r="K50" s="7">
        <f>IF(Monitorizacion!$X$23="","","Nuevo")</f>
      </c>
    </row>
    <row r="51" spans="1:11" x14ac:dyDescent="0.25">
      <c r="A51" s="7">
        <f>IF(Monitorizacion!$AI$23="","",Monitorizacion!$B$23&amp;"|1 hora|Vela/Media|"&amp;TEXT(NOW(),"yyyymmddhhmm"))</f>
      </c>
      <c r="B51" s="7">
        <f>IF(Monitorizacion!$AI$23="","",TEXT(NOW(),"dd/mm/yyyy hh:mm"))</f>
      </c>
      <c r="C51" s="7">
        <f>IF(Monitorizacion!$AI$23="","",Monitorizacion!$B$23)</f>
      </c>
      <c r="D51" s="7">
        <f>IF(Monitorizacion!$AI$23="","",Monitorizacion!$D$23)</f>
      </c>
      <c r="E51" s="7">
        <f>IF(Monitorizacion!$AI$23="","","1 hora")</f>
      </c>
      <c r="F51" s="7">
        <f>IF(Monitorizacion!$AI$23="","","Vela/Media")</f>
      </c>
      <c r="G51" s="7">
        <f>IF(Monitorizacion!$AI$23="","","Vela vs "&amp;Monitorizacion!$E$5)</f>
      </c>
      <c r="H51" s="7">
        <f>IF(Monitorizacion!$AI$23="","",Monitorizacion!$AI$23)</f>
      </c>
      <c r="I51" s="7">
        <f>IF(Monitorizacion!$AI$23="","",Monitorizacion!$AK$23)</f>
      </c>
      <c r="J51" s="7">
        <f>IF(Monitorizacion!$AI$23="","",Monitorizacion!$AL$23)</f>
      </c>
      <c r="K51" s="7">
        <f>IF(Monitorizacion!$AI$23="","","Nuevo")</f>
      </c>
    </row>
    <row r="52" spans="1:11" x14ac:dyDescent="0.25">
      <c r="A52" s="7">
        <f>IF(Monitorizacion!$AJ$23="","",Monitorizacion!$B$23&amp;"|1 hora|Media/Media|"&amp;TEXT(NOW(),"yyyymmddhhmm"))</f>
      </c>
      <c r="B52" s="7">
        <f>IF(Monitorizacion!$AJ$23="","",TEXT(NOW(),"dd/mm/yyyy hh:mm"))</f>
      </c>
      <c r="C52" s="7">
        <f>IF(Monitorizacion!$AJ$23="","",Monitorizacion!$B$23)</f>
      </c>
      <c r="D52" s="7">
        <f>IF(Monitorizacion!$AJ$23="","",Monitorizacion!$D$23)</f>
      </c>
      <c r="E52" s="7">
        <f>IF(Monitorizacion!$AJ$23="","","1 hora")</f>
      </c>
      <c r="F52" s="7">
        <f>IF(Monitorizacion!$AJ$23="","","Media/Media")</f>
      </c>
      <c r="G52" s="7">
        <f>IF(Monitorizacion!$AJ$23="","",Monitorizacion!$E$5&amp;" vs "&amp;Monitorizacion!$E$6)</f>
      </c>
      <c r="H52" s="7">
        <f>IF(Monitorizacion!$AJ$23="","",Monitorizacion!$AJ$23)</f>
      </c>
      <c r="I52" s="7">
        <f>IF(Monitorizacion!$AJ$23="","",Monitorizacion!$AK$23)</f>
      </c>
      <c r="J52" s="7">
        <f>IF(Monitorizacion!$AJ$23="","",Monitorizacion!$AL$23)</f>
      </c>
      <c r="K52" s="7">
        <f>IF(Monitorizacion!$AJ$23="","","Nuevo")</f>
      </c>
    </row>
    <row r="53" spans="1:11" x14ac:dyDescent="0.25">
      <c r="A53" s="7">
        <f>IF(Monitorizacion!$W$24="","",Monitorizacion!$B$24&amp;"|15 min|Vela/Media|"&amp;TEXT(NOW(),"yyyymmddhhmm"))</f>
      </c>
      <c r="B53" s="7">
        <f>IF(Monitorizacion!$W$24="","",TEXT(NOW(),"dd/mm/yyyy hh:mm"))</f>
      </c>
      <c r="C53" s="7">
        <f>IF(Monitorizacion!$W$24="","",Monitorizacion!$B$24)</f>
      </c>
      <c r="D53" s="7">
        <f>IF(Monitorizacion!$W$24="","",Monitorizacion!$D$24)</f>
      </c>
      <c r="E53" s="7">
        <f>IF(Monitorizacion!$W$24="","","15 min")</f>
      </c>
      <c r="F53" s="7">
        <f>IF(Monitorizacion!$W$24="","","Vela/Media")</f>
      </c>
      <c r="G53" s="7">
        <f>IF(Monitorizacion!$W$24="","","Vela vs "&amp;Monitorizacion!$E$5)</f>
      </c>
      <c r="H53" s="7">
        <f>IF(Monitorizacion!$W$24="","",Monitorizacion!$W$24)</f>
      </c>
      <c r="I53" s="7">
        <f>IF(Monitorizacion!$W$24="","",Monitorizacion!$AK$24)</f>
      </c>
      <c r="J53" s="7">
        <f>IF(Monitorizacion!$W$24="","",Monitorizacion!$AL$24)</f>
      </c>
      <c r="K53" s="7">
        <f>IF(Monitorizacion!$W$24="","","Nuevo")</f>
      </c>
    </row>
    <row r="54" spans="1:11" x14ac:dyDescent="0.25">
      <c r="A54" s="7">
        <f>IF(Monitorizacion!$X$24="","",Monitorizacion!$B$24&amp;"|15 min|Media/Media|"&amp;TEXT(NOW(),"yyyymmddhhmm"))</f>
      </c>
      <c r="B54" s="7">
        <f>IF(Monitorizacion!$X$24="","",TEXT(NOW(),"dd/mm/yyyy hh:mm"))</f>
      </c>
      <c r="C54" s="7">
        <f>IF(Monitorizacion!$X$24="","",Monitorizacion!$B$24)</f>
      </c>
      <c r="D54" s="7">
        <f>IF(Monitorizacion!$X$24="","",Monitorizacion!$D$24)</f>
      </c>
      <c r="E54" s="7">
        <f>IF(Monitorizacion!$X$24="","","15 min")</f>
      </c>
      <c r="F54" s="7">
        <f>IF(Monitorizacion!$X$24="","","Media/Media")</f>
      </c>
      <c r="G54" s="7">
        <f>IF(Monitorizacion!$X$24="","",Monitorizacion!$E$5&amp;" vs "&amp;Monitorizacion!$E$6)</f>
      </c>
      <c r="H54" s="7">
        <f>IF(Monitorizacion!$X$24="","",Monitorizacion!$X$24)</f>
      </c>
      <c r="I54" s="7">
        <f>IF(Monitorizacion!$X$24="","",Monitorizacion!$AK$24)</f>
      </c>
      <c r="J54" s="7">
        <f>IF(Monitorizacion!$X$24="","",Monitorizacion!$AL$24)</f>
      </c>
      <c r="K54" s="7">
        <f>IF(Monitorizacion!$X$24="","","Nuevo")</f>
      </c>
    </row>
    <row r="55" spans="1:11" x14ac:dyDescent="0.25">
      <c r="A55" s="7" t="str">
        <f>IF(Monitorizacion!$AI$24="","",Monitorizacion!$B$24&amp;"|1 hora|Vela/Media|"&amp;TEXT(NOW(),"yyyymmddhhmm"))</f>
        <v>Telefónica|1 hora|Vela/Media|yyyy07312015</v>
      </c>
      <c r="B55" s="7" t="str">
        <f>IF(Monitorizacion!$AI$24="","",TEXT(NOW(),"dd/mm/yyyy hh:mm"))</f>
        <v>31/07/yyyy 20:15</v>
      </c>
      <c r="C55" s="7" t="str">
        <f>IF(Monitorizacion!$AI$24="","",Monitorizacion!$B$24)</f>
        <v>Telefónica</v>
      </c>
      <c r="D55" s="7" t="str">
        <f>IF(Monitorizacion!$AI$24="","",Monitorizacion!$D$24)</f>
        <v>BME (Madrid)</v>
      </c>
      <c r="E55" s="7" t="str">
        <f>IF(Monitorizacion!$AI$24="","","1 hora")</f>
        <v>1 hora</v>
      </c>
      <c r="F55" s="7" t="str">
        <f>IF(Monitorizacion!$AI$24="","","Vela/Media")</f>
        <v>Vela/Media</v>
      </c>
      <c r="G55" s="7" t="str">
        <f>IF(Monitorizacion!$AI$24="","","Vela vs "&amp;Monitorizacion!$E$5)</f>
        <v>Vela vs EMA 9</v>
      </c>
      <c r="H55" s="7" t="str">
        <f>IF(Monitorizacion!$AI$24="","",Monitorizacion!$AI$24)</f>
        <v>ALCISTA</v>
      </c>
      <c r="I55" s="7" t="str">
        <f>IF(Monitorizacion!$AI$24="","",Monitorizacion!$AK$24)</f>
        <v>Sin clasificar</v>
      </c>
      <c r="J55" s="7" t="str">
        <f>IF(Monitorizacion!$AI$24="","",Monitorizacion!$AL$24)</f>
        <v>Cruce alcista detectado en Telefónica (BME (Madrid)). La vela ha cruzado EMA 9 en 1 hora. Nivel: Sin clasificar. 31/07/yyyy 20:15</v>
      </c>
      <c r="K55" s="7" t="str">
        <f>IF(Monitorizacion!$AI$24="","","Nuevo")</f>
        <v>Nuevo</v>
      </c>
    </row>
    <row r="56" spans="1:11" x14ac:dyDescent="0.25">
      <c r="A56" s="7">
        <f>IF(Monitorizacion!$AJ$24="","",Monitorizacion!$B$24&amp;"|1 hora|Media/Media|"&amp;TEXT(NOW(),"yyyymmddhhmm"))</f>
      </c>
      <c r="B56" s="7">
        <f>IF(Monitorizacion!$AJ$24="","",TEXT(NOW(),"dd/mm/yyyy hh:mm"))</f>
      </c>
      <c r="C56" s="7">
        <f>IF(Monitorizacion!$AJ$24="","",Monitorizacion!$B$24)</f>
      </c>
      <c r="D56" s="7">
        <f>IF(Monitorizacion!$AJ$24="","",Monitorizacion!$D$24)</f>
      </c>
      <c r="E56" s="7">
        <f>IF(Monitorizacion!$AJ$24="","","1 hora")</f>
      </c>
      <c r="F56" s="7">
        <f>IF(Monitorizacion!$AJ$24="","","Media/Media")</f>
      </c>
      <c r="G56" s="7">
        <f>IF(Monitorizacion!$AJ$24="","",Monitorizacion!$E$5&amp;" vs "&amp;Monitorizacion!$E$6)</f>
      </c>
      <c r="H56" s="7">
        <f>IF(Monitorizacion!$AJ$24="","",Monitorizacion!$AJ$24)</f>
      </c>
      <c r="I56" s="7">
        <f>IF(Monitorizacion!$AJ$24="","",Monitorizacion!$AK$24)</f>
      </c>
      <c r="J56" s="7">
        <f>IF(Monitorizacion!$AJ$24="","",Monitorizacion!$AL$24)</f>
      </c>
      <c r="K56" s="7">
        <f>IF(Monitorizacion!$AJ$24="","","Nuevo")</f>
      </c>
    </row>
    <row r="57" spans="1:11" x14ac:dyDescent="0.25">
      <c r="A57" s="7">
        <f>IF(Monitorizacion!$W$26="","",Monitorizacion!$B$26&amp;"|15 min|Vela/Media|"&amp;TEXT(NOW(),"yyyymmddhhmm"))</f>
      </c>
      <c r="B57" s="7">
        <f>IF(Monitorizacion!$W$26="","",TEXT(NOW(),"dd/mm/yyyy hh:mm"))</f>
      </c>
      <c r="C57" s="7">
        <f>IF(Monitorizacion!$W$26="","",Monitorizacion!$B$26)</f>
      </c>
      <c r="D57" s="7">
        <f>IF(Monitorizacion!$W$26="","",Monitorizacion!$D$26)</f>
      </c>
      <c r="E57" s="7">
        <f>IF(Monitorizacion!$W$26="","","15 min")</f>
      </c>
      <c r="F57" s="7">
        <f>IF(Monitorizacion!$W$26="","","Vela/Media")</f>
      </c>
      <c r="G57" s="7">
        <f>IF(Monitorizacion!$W$26="","","Vela vs "&amp;Monitorizacion!$E$5)</f>
      </c>
      <c r="H57" s="7">
        <f>IF(Monitorizacion!$W$26="","",Monitorizacion!$W$26)</f>
      </c>
      <c r="I57" s="7">
        <f>IF(Monitorizacion!$W$26="","",Monitorizacion!$AK$26)</f>
      </c>
      <c r="J57" s="7">
        <f>IF(Monitorizacion!$W$26="","",Monitorizacion!$AL$26)</f>
      </c>
      <c r="K57" s="7">
        <f>IF(Monitorizacion!$W$26="","","Nuevo")</f>
      </c>
    </row>
    <row r="58" spans="1:11" x14ac:dyDescent="0.25">
      <c r="A58" s="7">
        <f>IF(Monitorizacion!$X$26="","",Monitorizacion!$B$26&amp;"|15 min|Media/Media|"&amp;TEXT(NOW(),"yyyymmddhhmm"))</f>
      </c>
      <c r="B58" s="7">
        <f>IF(Monitorizacion!$X$26="","",TEXT(NOW(),"dd/mm/yyyy hh:mm"))</f>
      </c>
      <c r="C58" s="7">
        <f>IF(Monitorizacion!$X$26="","",Monitorizacion!$B$26)</f>
      </c>
      <c r="D58" s="7">
        <f>IF(Monitorizacion!$X$26="","",Monitorizacion!$D$26)</f>
      </c>
      <c r="E58" s="7">
        <f>IF(Monitorizacion!$X$26="","","15 min")</f>
      </c>
      <c r="F58" s="7">
        <f>IF(Monitorizacion!$X$26="","","Media/Media")</f>
      </c>
      <c r="G58" s="7">
        <f>IF(Monitorizacion!$X$26="","",Monitorizacion!$E$5&amp;" vs "&amp;Monitorizacion!$E$6)</f>
      </c>
      <c r="H58" s="7">
        <f>IF(Monitorizacion!$X$26="","",Monitorizacion!$X$26)</f>
      </c>
      <c r="I58" s="7">
        <f>IF(Monitorizacion!$X$26="","",Monitorizacion!$AK$26)</f>
      </c>
      <c r="J58" s="7">
        <f>IF(Monitorizacion!$X$26="","",Monitorizacion!$AL$26)</f>
      </c>
      <c r="K58" s="7">
        <f>IF(Monitorizacion!$X$26="","","Nuevo")</f>
      </c>
    </row>
    <row r="59" spans="1:11" x14ac:dyDescent="0.25">
      <c r="A59" s="7">
        <f>IF(Monitorizacion!$AI$26="","",Monitorizacion!$B$26&amp;"|1 hora|Vela/Media|"&amp;TEXT(NOW(),"yyyymmddhhmm"))</f>
      </c>
      <c r="B59" s="7">
        <f>IF(Monitorizacion!$AI$26="","",TEXT(NOW(),"dd/mm/yyyy hh:mm"))</f>
      </c>
      <c r="C59" s="7">
        <f>IF(Monitorizacion!$AI$26="","",Monitorizacion!$B$26)</f>
      </c>
      <c r="D59" s="7">
        <f>IF(Monitorizacion!$AI$26="","",Monitorizacion!$D$26)</f>
      </c>
      <c r="E59" s="7">
        <f>IF(Monitorizacion!$AI$26="","","1 hora")</f>
      </c>
      <c r="F59" s="7">
        <f>IF(Monitorizacion!$AI$26="","","Vela/Media")</f>
      </c>
      <c r="G59" s="7">
        <f>IF(Monitorizacion!$AI$26="","","Vela vs "&amp;Monitorizacion!$E$5)</f>
      </c>
      <c r="H59" s="7">
        <f>IF(Monitorizacion!$AI$26="","",Monitorizacion!$AI$26)</f>
      </c>
      <c r="I59" s="7">
        <f>IF(Monitorizacion!$AI$26="","",Monitorizacion!$AK$26)</f>
      </c>
      <c r="J59" s="7">
        <f>IF(Monitorizacion!$AI$26="","",Monitorizacion!$AL$26)</f>
      </c>
      <c r="K59" s="7">
        <f>IF(Monitorizacion!$AI$26="","","Nuevo")</f>
      </c>
    </row>
    <row r="60" spans="1:11" x14ac:dyDescent="0.25">
      <c r="A60" s="7" t="str">
        <f>IF(Monitorizacion!$AJ$26="","",Monitorizacion!$B$26&amp;"|1 hora|Media/Media|"&amp;TEXT(NOW(),"yyyymmddhhmm"))</f>
        <v>CaixaBank |1 hora|Media/Media|yyyy07312015</v>
      </c>
      <c r="B60" s="7" t="str">
        <f>IF(Monitorizacion!$AJ$26="","",TEXT(NOW(),"dd/mm/yyyy hh:mm"))</f>
        <v>31/07/yyyy 20:15</v>
      </c>
      <c r="C60" s="7" t="str">
        <f>IF(Monitorizacion!$AJ$26="","",Monitorizacion!$B$26)</f>
        <v>CaixaBank </v>
      </c>
      <c r="D60" s="7" t="str">
        <f>IF(Monitorizacion!$AJ$26="","",Monitorizacion!$D$26)</f>
        <v>BME (Madrid)</v>
      </c>
      <c r="E60" s="7" t="str">
        <f>IF(Monitorizacion!$AJ$26="","","1 hora")</f>
        <v>1 hora</v>
      </c>
      <c r="F60" s="7" t="str">
        <f>IF(Monitorizacion!$AJ$26="","","Media/Media")</f>
        <v>Media/Media</v>
      </c>
      <c r="G60" s="7" t="str">
        <f>IF(Monitorizacion!$AJ$26="","",Monitorizacion!$E$5&amp;" vs "&amp;Monitorizacion!$E$6)</f>
        <v>EMA 9 vs EMA 20</v>
      </c>
      <c r="H60" s="7" t="str">
        <f>IF(Monitorizacion!$AJ$26="","",Monitorizacion!$AJ$26)</f>
        <v>ALCISTA</v>
      </c>
      <c r="I60" s="7">
        <f>IF(Monitorizacion!$AJ$26="","",Monitorizacion!$AK$26)</f>
        <v>1</v>
      </c>
      <c r="J60" s="7" t="str">
        <f>IF(Monitorizacion!$AJ$26="","",Monitorizacion!$AL$26)</f>
        <v>Cruce alcista detectado en CaixaBank  (BME (Madrid)). EMA 9 ha cruzado EMA 20 en 1 hora. Nivel: 1. 31/07/yyyy 20:15</v>
      </c>
      <c r="K60" s="7" t="str">
        <f>IF(Monitorizacion!$AJ$26="","","Nuevo")</f>
        <v>Nuevo</v>
      </c>
    </row>
    <row r="61" spans="1:11" x14ac:dyDescent="0.25">
      <c r="A61" s="7">
        <f>IF(Monitorizacion!$W$111="","",Monitorizacion!$B$111&amp;"|15 min|Vela/Media|"&amp;TEXT(NOW(),"yyyymmddhhmm"))</f>
      </c>
      <c r="B61" s="7">
        <f>IF(Monitorizacion!$W$111="","",TEXT(NOW(),"dd/mm/yyyy hh:mm"))</f>
      </c>
      <c r="C61" s="7">
        <f>IF(Monitorizacion!$W$111="","",Monitorizacion!$B$111)</f>
      </c>
      <c r="D61" s="7">
        <f>IF(Monitorizacion!$W$111="","",Monitorizacion!$D$111)</f>
      </c>
      <c r="E61" s="7">
        <f>IF(Monitorizacion!$W$111="","","15 min")</f>
      </c>
      <c r="F61" s="7">
        <f>IF(Monitorizacion!$W$111="","","Vela/Media")</f>
      </c>
      <c r="G61" s="7">
        <f>IF(Monitorizacion!$W$111="","","Vela vs "&amp;Monitorizacion!$E$5)</f>
      </c>
      <c r="H61" s="7">
        <f>IF(Monitorizacion!$W$111="","",Monitorizacion!$W$111)</f>
      </c>
      <c r="I61" s="7">
        <f>IF(Monitorizacion!$W$111="","",Monitorizacion!$AK$111)</f>
      </c>
      <c r="J61" s="7">
        <f>IF(Monitorizacion!$W$111="","",Monitorizacion!$AL$111)</f>
      </c>
      <c r="K61" s="7">
        <f>IF(Monitorizacion!$W$111="","","Nuevo")</f>
      </c>
    </row>
    <row r="62" spans="1:11" x14ac:dyDescent="0.25">
      <c r="A62" s="7">
        <f>IF(Monitorizacion!$X$111="","",Monitorizacion!$B$111&amp;"|15 min|Media/Media|"&amp;TEXT(NOW(),"yyyymmddhhmm"))</f>
      </c>
      <c r="B62" s="7">
        <f>IF(Monitorizacion!$X$111="","",TEXT(NOW(),"dd/mm/yyyy hh:mm"))</f>
      </c>
      <c r="C62" s="7">
        <f>IF(Monitorizacion!$X$111="","",Monitorizacion!$B$111)</f>
      </c>
      <c r="D62" s="7">
        <f>IF(Monitorizacion!$X$111="","",Monitorizacion!$D$111)</f>
      </c>
      <c r="E62" s="7">
        <f>IF(Monitorizacion!$X$111="","","15 min")</f>
      </c>
      <c r="F62" s="7">
        <f>IF(Monitorizacion!$X$111="","","Media/Media")</f>
      </c>
      <c r="G62" s="7">
        <f>IF(Monitorizacion!$X$111="","",Monitorizacion!$E$5&amp;" vs "&amp;Monitorizacion!$E$6)</f>
      </c>
      <c r="H62" s="7">
        <f>IF(Monitorizacion!$X$111="","",Monitorizacion!$X$111)</f>
      </c>
      <c r="I62" s="7">
        <f>IF(Monitorizacion!$X$111="","",Monitorizacion!$AK$111)</f>
      </c>
      <c r="J62" s="7">
        <f>IF(Monitorizacion!$X$111="","",Monitorizacion!$AL$111)</f>
      </c>
      <c r="K62" s="7">
        <f>IF(Monitorizacion!$X$111="","","Nuevo")</f>
      </c>
    </row>
    <row r="63" spans="1:11" x14ac:dyDescent="0.25">
      <c r="A63" s="7">
        <f>IF(Monitorizacion!$AI$111="","",Monitorizacion!$B$111&amp;"|1 hora|Vela/Media|"&amp;TEXT(NOW(),"yyyymmddhhmm"))</f>
      </c>
      <c r="B63" s="7">
        <f>IF(Monitorizacion!$AI$111="","",TEXT(NOW(),"dd/mm/yyyy hh:mm"))</f>
      </c>
      <c r="C63" s="7">
        <f>IF(Monitorizacion!$AI$111="","",Monitorizacion!$B$111)</f>
      </c>
      <c r="D63" s="7">
        <f>IF(Monitorizacion!$AI$111="","",Monitorizacion!$D$111)</f>
      </c>
      <c r="E63" s="7">
        <f>IF(Monitorizacion!$AI$111="","","1 hora")</f>
      </c>
      <c r="F63" s="7">
        <f>IF(Monitorizacion!$AI$111="","","Vela/Media")</f>
      </c>
      <c r="G63" s="7">
        <f>IF(Monitorizacion!$AI$111="","","Vela vs "&amp;Monitorizacion!$E$5)</f>
      </c>
      <c r="H63" s="7">
        <f>IF(Monitorizacion!$AI$111="","",Monitorizacion!$AI$111)</f>
      </c>
      <c r="I63" s="7">
        <f>IF(Monitorizacion!$AI$111="","",Monitorizacion!$AK$111)</f>
      </c>
      <c r="J63" s="7">
        <f>IF(Monitorizacion!$AI$111="","",Monitorizacion!$AL$111)</f>
      </c>
      <c r="K63" s="7">
        <f>IF(Monitorizacion!$AI$111="","","Nuevo")</f>
      </c>
    </row>
    <row r="64" spans="1:11" x14ac:dyDescent="0.25">
      <c r="A64" s="7">
        <f>IF(Monitorizacion!$AJ$111="","",Monitorizacion!$B$111&amp;"|1 hora|Media/Media|"&amp;TEXT(NOW(),"yyyymmddhhmm"))</f>
      </c>
      <c r="B64" s="7">
        <f>IF(Monitorizacion!$AJ$111="","",TEXT(NOW(),"dd/mm/yyyy hh:mm"))</f>
      </c>
      <c r="C64" s="7">
        <f>IF(Monitorizacion!$AJ$111="","",Monitorizacion!$B$111)</f>
      </c>
      <c r="D64" s="7">
        <f>IF(Monitorizacion!$AJ$111="","",Monitorizacion!$D$111)</f>
      </c>
      <c r="E64" s="7">
        <f>IF(Monitorizacion!$AJ$111="","","1 hora")</f>
      </c>
      <c r="F64" s="7">
        <f>IF(Monitorizacion!$AJ$111="","","Media/Media")</f>
      </c>
      <c r="G64" s="7">
        <f>IF(Monitorizacion!$AJ$111="","",Monitorizacion!$E$5&amp;" vs "&amp;Monitorizacion!$E$6)</f>
      </c>
      <c r="H64" s="7">
        <f>IF(Monitorizacion!$AJ$111="","",Monitorizacion!$AJ$111)</f>
      </c>
      <c r="I64" s="7">
        <f>IF(Monitorizacion!$AJ$111="","",Monitorizacion!$AK$111)</f>
      </c>
      <c r="J64" s="7">
        <f>IF(Monitorizacion!$AJ$111="","",Monitorizacion!$AL$111)</f>
      </c>
      <c r="K64" s="7">
        <f>IF(Monitorizacion!$AJ$111="","","Nuevo")</f>
      </c>
    </row>
    <row r="65" spans="1:11" x14ac:dyDescent="0.25">
      <c r="A65" t="s">
        <v>2606</v>
      </c>
      <c r="B65" s="18">
        <v>46231.701334791665</v>
      </c>
      <c r="C65" t="s">
        <v>97</v>
      </c>
      <c r="D65" t="s">
        <v>257</v>
      </c>
      <c r="E65" t="s">
        <v>209</v>
      </c>
      <c r="F65" t="s">
        <v>2607</v>
      </c>
      <c r="G65" t="s">
        <v>2608</v>
      </c>
      <c r="H65" t="s">
        <v>2609</v>
      </c>
      <c r="I65" t="s">
        <v>2610</v>
      </c>
      <c r="J65" t="s">
        <v>2611</v>
      </c>
      <c r="K65" t="s">
        <v>2612</v>
      </c>
    </row>
    <row r="66" spans="1:11" x14ac:dyDescent="0.25">
      <c r="A66" t="s">
        <v>2613</v>
      </c>
      <c r="B66" s="18">
        <v>46231.701334791665</v>
      </c>
      <c r="C66" t="s">
        <v>268</v>
      </c>
      <c r="D66" t="s">
        <v>267</v>
      </c>
      <c r="E66" t="s">
        <v>209</v>
      </c>
      <c r="F66" t="s">
        <v>2614</v>
      </c>
      <c r="G66" t="s">
        <v>2615</v>
      </c>
      <c r="H66" t="s">
        <v>2609</v>
      </c>
      <c r="I66" t="s">
        <v>2610</v>
      </c>
      <c r="J66" t="s">
        <v>2616</v>
      </c>
      <c r="K66" t="s">
        <v>2612</v>
      </c>
    </row>
    <row r="67" spans="1:11" x14ac:dyDescent="0.25">
      <c r="A67" t="s">
        <v>2617</v>
      </c>
      <c r="B67" s="18">
        <v>46231.701334791665</v>
      </c>
      <c r="C67" t="s">
        <v>90</v>
      </c>
      <c r="D67" t="s">
        <v>288</v>
      </c>
      <c r="E67" t="s">
        <v>206</v>
      </c>
      <c r="F67" t="s">
        <v>2607</v>
      </c>
      <c r="G67" t="s">
        <v>2608</v>
      </c>
      <c r="H67" t="s">
        <v>2618</v>
      </c>
      <c r="I67" t="s">
        <v>2610</v>
      </c>
      <c r="J67" t="s">
        <v>2619</v>
      </c>
      <c r="K67" t="s">
        <v>2612</v>
      </c>
    </row>
    <row r="68" spans="1:11" x14ac:dyDescent="0.25">
      <c r="A68" t="s">
        <v>2620</v>
      </c>
      <c r="B68" s="18">
        <v>46231.74331737269</v>
      </c>
      <c r="C68" t="s">
        <v>284</v>
      </c>
      <c r="D68" t="s">
        <v>276</v>
      </c>
      <c r="E68" t="s">
        <v>206</v>
      </c>
      <c r="F68" t="s">
        <v>2607</v>
      </c>
      <c r="G68" t="s">
        <v>2608</v>
      </c>
      <c r="H68" t="s">
        <v>2609</v>
      </c>
      <c r="I68" t="s">
        <v>2610</v>
      </c>
      <c r="J68" t="s">
        <v>2621</v>
      </c>
      <c r="K68" t="s">
        <v>2612</v>
      </c>
    </row>
    <row r="69" spans="1:11" x14ac:dyDescent="0.25">
      <c r="A69" t="s">
        <v>2622</v>
      </c>
      <c r="B69" s="18">
        <v>46231.74331737269</v>
      </c>
      <c r="C69" t="s">
        <v>301</v>
      </c>
      <c r="D69" t="s">
        <v>300</v>
      </c>
      <c r="E69" t="s">
        <v>206</v>
      </c>
      <c r="F69" t="s">
        <v>2607</v>
      </c>
      <c r="G69" t="s">
        <v>2608</v>
      </c>
      <c r="H69" t="s">
        <v>2609</v>
      </c>
      <c r="I69" t="s">
        <v>2610</v>
      </c>
      <c r="J69" t="s">
        <v>2623</v>
      </c>
      <c r="K69" t="s">
        <v>2612</v>
      </c>
    </row>
    <row r="70" spans="1:11" x14ac:dyDescent="0.25">
      <c r="A70" t="s">
        <v>2624</v>
      </c>
      <c r="B70" s="18">
        <v>46231.74331737269</v>
      </c>
      <c r="C70" t="s">
        <v>124</v>
      </c>
      <c r="D70" t="s">
        <v>305</v>
      </c>
      <c r="E70" t="s">
        <v>209</v>
      </c>
      <c r="F70" t="s">
        <v>2607</v>
      </c>
      <c r="G70" t="s">
        <v>2608</v>
      </c>
      <c r="H70" t="s">
        <v>2618</v>
      </c>
      <c r="I70" t="s">
        <v>2610</v>
      </c>
      <c r="J70" t="s">
        <v>2625</v>
      </c>
      <c r="K70" t="s">
        <v>2612</v>
      </c>
    </row>
    <row r="71" spans="1:11" x14ac:dyDescent="0.25">
      <c r="A71" t="s">
        <v>2626</v>
      </c>
      <c r="B71" s="18">
        <v>46231.74331737269</v>
      </c>
      <c r="C71" t="s">
        <v>125</v>
      </c>
      <c r="D71" t="s">
        <v>305</v>
      </c>
      <c r="E71" t="s">
        <v>206</v>
      </c>
      <c r="F71" t="s">
        <v>2607</v>
      </c>
      <c r="G71" t="s">
        <v>2608</v>
      </c>
      <c r="H71" t="s">
        <v>2618</v>
      </c>
      <c r="I71" t="s">
        <v>2610</v>
      </c>
      <c r="J71" t="s">
        <v>2627</v>
      </c>
      <c r="K71" t="s">
        <v>2612</v>
      </c>
    </row>
    <row r="72" spans="1:11" x14ac:dyDescent="0.25">
      <c r="A72" t="s">
        <v>2628</v>
      </c>
      <c r="B72" s="18">
        <v>46231.74331737269</v>
      </c>
      <c r="C72" t="s">
        <v>125</v>
      </c>
      <c r="D72" t="s">
        <v>305</v>
      </c>
      <c r="E72" t="s">
        <v>209</v>
      </c>
      <c r="F72" t="s">
        <v>2607</v>
      </c>
      <c r="G72" t="s">
        <v>2608</v>
      </c>
      <c r="H72" t="s">
        <v>2618</v>
      </c>
      <c r="I72" t="s">
        <v>2610</v>
      </c>
      <c r="J72" t="s">
        <v>2629</v>
      </c>
      <c r="K72" t="s">
        <v>2612</v>
      </c>
    </row>
    <row r="73" spans="1:11" x14ac:dyDescent="0.25">
      <c r="A73" t="s">
        <v>2630</v>
      </c>
      <c r="B73" s="18">
        <v>46231.75381616898</v>
      </c>
      <c r="C73" t="s">
        <v>281</v>
      </c>
      <c r="D73" t="s">
        <v>276</v>
      </c>
      <c r="E73" t="s">
        <v>206</v>
      </c>
      <c r="F73" t="s">
        <v>2607</v>
      </c>
      <c r="G73" t="s">
        <v>2608</v>
      </c>
      <c r="H73" t="s">
        <v>2618</v>
      </c>
      <c r="I73" t="s">
        <v>2610</v>
      </c>
      <c r="J73" t="s">
        <v>2631</v>
      </c>
      <c r="K73" t="s">
        <v>2612</v>
      </c>
    </row>
    <row r="74" spans="1:11" x14ac:dyDescent="0.25">
      <c r="A74" t="s">
        <v>2632</v>
      </c>
      <c r="B74" s="18">
        <v>46231.75381616898</v>
      </c>
      <c r="C74" t="s">
        <v>284</v>
      </c>
      <c r="D74" t="s">
        <v>276</v>
      </c>
      <c r="E74" t="s">
        <v>206</v>
      </c>
      <c r="F74" t="s">
        <v>2607</v>
      </c>
      <c r="G74" t="s">
        <v>2608</v>
      </c>
      <c r="H74" t="s">
        <v>2618</v>
      </c>
      <c r="I74" t="s">
        <v>2610</v>
      </c>
      <c r="J74" t="s">
        <v>2633</v>
      </c>
      <c r="K74" t="s">
        <v>2612</v>
      </c>
    </row>
    <row r="75" spans="1:11" x14ac:dyDescent="0.25">
      <c r="A75" t="s">
        <v>2634</v>
      </c>
      <c r="B75" s="18">
        <v>46231.75381616898</v>
      </c>
      <c r="C75" t="s">
        <v>116</v>
      </c>
      <c r="D75" t="s">
        <v>294</v>
      </c>
      <c r="E75" t="s">
        <v>206</v>
      </c>
      <c r="F75" t="s">
        <v>2607</v>
      </c>
      <c r="G75" t="s">
        <v>2608</v>
      </c>
      <c r="H75" t="s">
        <v>2609</v>
      </c>
      <c r="I75" t="s">
        <v>2610</v>
      </c>
      <c r="J75" t="s">
        <v>2635</v>
      </c>
      <c r="K75" t="s">
        <v>2612</v>
      </c>
    </row>
    <row r="76" spans="1:11" x14ac:dyDescent="0.25">
      <c r="A76" t="s">
        <v>2636</v>
      </c>
      <c r="B76" s="18">
        <v>46231.75381618056</v>
      </c>
      <c r="C76" t="s">
        <v>117</v>
      </c>
      <c r="D76" t="s">
        <v>294</v>
      </c>
      <c r="E76" t="s">
        <v>206</v>
      </c>
      <c r="F76" t="s">
        <v>2607</v>
      </c>
      <c r="G76" t="s">
        <v>2608</v>
      </c>
      <c r="H76" t="s">
        <v>2609</v>
      </c>
      <c r="I76" t="s">
        <v>2610</v>
      </c>
      <c r="J76" t="s">
        <v>2637</v>
      </c>
      <c r="K76" t="s">
        <v>2612</v>
      </c>
    </row>
    <row r="77" spans="1:11" x14ac:dyDescent="0.25">
      <c r="A77" t="s">
        <v>2638</v>
      </c>
      <c r="B77" s="18">
        <v>46231.75381618056</v>
      </c>
      <c r="C77" t="s">
        <v>117</v>
      </c>
      <c r="D77" t="s">
        <v>294</v>
      </c>
      <c r="E77" t="s">
        <v>209</v>
      </c>
      <c r="F77" t="s">
        <v>2614</v>
      </c>
      <c r="G77" t="s">
        <v>2615</v>
      </c>
      <c r="H77" t="s">
        <v>2609</v>
      </c>
      <c r="I77" t="s">
        <v>2610</v>
      </c>
      <c r="J77" t="s">
        <v>2639</v>
      </c>
      <c r="K77" t="s">
        <v>2612</v>
      </c>
    </row>
    <row r="78" spans="1:11" x14ac:dyDescent="0.25">
      <c r="A78" t="s">
        <v>2640</v>
      </c>
      <c r="B78" s="18">
        <v>46231.75381618056</v>
      </c>
      <c r="C78" t="s">
        <v>301</v>
      </c>
      <c r="D78" t="s">
        <v>300</v>
      </c>
      <c r="E78" t="s">
        <v>206</v>
      </c>
      <c r="F78" t="s">
        <v>2607</v>
      </c>
      <c r="G78" t="s">
        <v>2608</v>
      </c>
      <c r="H78" t="s">
        <v>2618</v>
      </c>
      <c r="I78" t="s">
        <v>2610</v>
      </c>
      <c r="J78" t="s">
        <v>2641</v>
      </c>
      <c r="K78" t="s">
        <v>2612</v>
      </c>
    </row>
    <row r="79" spans="1:11" x14ac:dyDescent="0.25">
      <c r="A79" t="s">
        <v>2642</v>
      </c>
      <c r="B79" s="18">
        <v>46231.75381618056</v>
      </c>
      <c r="C79" t="s">
        <v>125</v>
      </c>
      <c r="D79" t="s">
        <v>305</v>
      </c>
      <c r="E79" t="s">
        <v>206</v>
      </c>
      <c r="F79" t="s">
        <v>2614</v>
      </c>
      <c r="G79" t="s">
        <v>2615</v>
      </c>
      <c r="H79" t="s">
        <v>2618</v>
      </c>
      <c r="I79" t="s">
        <v>2610</v>
      </c>
      <c r="J79" t="s">
        <v>2643</v>
      </c>
      <c r="K79" t="s">
        <v>2612</v>
      </c>
    </row>
    <row r="80" spans="1:11" x14ac:dyDescent="0.25">
      <c r="A80" t="s">
        <v>2644</v>
      </c>
      <c r="B80" s="18">
        <v>46232.76311921296</v>
      </c>
      <c r="C80" t="s">
        <v>268</v>
      </c>
      <c r="D80" t="s">
        <v>267</v>
      </c>
      <c r="E80" t="s">
        <v>206</v>
      </c>
      <c r="F80" t="s">
        <v>2607</v>
      </c>
      <c r="G80" t="s">
        <v>2608</v>
      </c>
      <c r="H80" t="s">
        <v>2618</v>
      </c>
      <c r="I80" t="s">
        <v>2610</v>
      </c>
      <c r="J80" t="s">
        <v>2645</v>
      </c>
      <c r="K80" t="s">
        <v>2612</v>
      </c>
    </row>
    <row r="81" spans="1:11" x14ac:dyDescent="0.25">
      <c r="A81" t="s">
        <v>2646</v>
      </c>
      <c r="B81" s="18">
        <v>46232.76311922453</v>
      </c>
      <c r="C81" t="s">
        <v>301</v>
      </c>
      <c r="D81" t="s">
        <v>300</v>
      </c>
      <c r="E81" t="s">
        <v>209</v>
      </c>
      <c r="F81" t="s">
        <v>2607</v>
      </c>
      <c r="G81" t="s">
        <v>2608</v>
      </c>
      <c r="H81" t="s">
        <v>2609</v>
      </c>
      <c r="I81" t="s">
        <v>2610</v>
      </c>
      <c r="J81" t="s">
        <v>2647</v>
      </c>
      <c r="K81" t="s">
        <v>2612</v>
      </c>
    </row>
    <row r="82" spans="1:11" x14ac:dyDescent="0.25">
      <c r="A82" t="s">
        <v>2648</v>
      </c>
      <c r="B82" s="18">
        <v>46232.76311922453</v>
      </c>
      <c r="C82" t="s">
        <v>124</v>
      </c>
      <c r="D82" t="s">
        <v>305</v>
      </c>
      <c r="E82" t="s">
        <v>209</v>
      </c>
      <c r="F82" t="s">
        <v>2614</v>
      </c>
      <c r="G82" t="s">
        <v>2649</v>
      </c>
      <c r="H82" t="s">
        <v>2609</v>
      </c>
      <c r="I82">
        <v>1</v>
      </c>
      <c r="J82" t="s">
        <v>2650</v>
      </c>
      <c r="K82" t="s">
        <v>2612</v>
      </c>
    </row>
    <row r="83" spans="1:11" x14ac:dyDescent="0.25">
      <c r="A83" t="s">
        <v>2651</v>
      </c>
      <c r="B83" s="18">
        <v>46232.77360793982</v>
      </c>
      <c r="C83" t="s">
        <v>116</v>
      </c>
      <c r="D83" t="s">
        <v>294</v>
      </c>
      <c r="E83" t="s">
        <v>206</v>
      </c>
      <c r="F83" t="s">
        <v>2607</v>
      </c>
      <c r="G83" t="s">
        <v>2608</v>
      </c>
      <c r="H83" t="s">
        <v>2618</v>
      </c>
      <c r="I83" t="s">
        <v>2610</v>
      </c>
      <c r="J83" t="s">
        <v>2652</v>
      </c>
      <c r="K83" t="s">
        <v>2612</v>
      </c>
    </row>
    <row r="84" spans="1:11" x14ac:dyDescent="0.25">
      <c r="A84" t="s">
        <v>2653</v>
      </c>
      <c r="B84" s="18">
        <v>46232.773607951385</v>
      </c>
      <c r="C84" t="s">
        <v>116</v>
      </c>
      <c r="D84" t="s">
        <v>294</v>
      </c>
      <c r="E84" t="s">
        <v>209</v>
      </c>
      <c r="F84" t="s">
        <v>2607</v>
      </c>
      <c r="G84" t="s">
        <v>2608</v>
      </c>
      <c r="H84" t="s">
        <v>2618</v>
      </c>
      <c r="I84" t="s">
        <v>2610</v>
      </c>
      <c r="J84" t="s">
        <v>2654</v>
      </c>
      <c r="K84" t="s">
        <v>2612</v>
      </c>
    </row>
    <row r="85" spans="1:11" x14ac:dyDescent="0.25">
      <c r="A85" t="s">
        <v>2655</v>
      </c>
      <c r="B85" s="18">
        <v>46232.773607951385</v>
      </c>
      <c r="C85" t="s">
        <v>117</v>
      </c>
      <c r="D85" t="s">
        <v>294</v>
      </c>
      <c r="E85" t="s">
        <v>206</v>
      </c>
      <c r="F85" t="s">
        <v>2607</v>
      </c>
      <c r="G85" t="s">
        <v>2608</v>
      </c>
      <c r="H85" t="s">
        <v>2618</v>
      </c>
      <c r="I85" t="s">
        <v>2610</v>
      </c>
      <c r="J85" t="s">
        <v>2656</v>
      </c>
      <c r="K85" t="s">
        <v>2612</v>
      </c>
    </row>
    <row r="86" spans="1:11" x14ac:dyDescent="0.25">
      <c r="A86" t="s">
        <v>2657</v>
      </c>
      <c r="B86" s="18">
        <v>46232.773607951385</v>
      </c>
      <c r="C86" t="s">
        <v>117</v>
      </c>
      <c r="D86" t="s">
        <v>294</v>
      </c>
      <c r="E86" t="s">
        <v>209</v>
      </c>
      <c r="F86" t="s">
        <v>2607</v>
      </c>
      <c r="G86" t="s">
        <v>2608</v>
      </c>
      <c r="H86" t="s">
        <v>2618</v>
      </c>
      <c r="I86" t="s">
        <v>2610</v>
      </c>
      <c r="J86" t="s">
        <v>2658</v>
      </c>
      <c r="K86" t="s">
        <v>2612</v>
      </c>
    </row>
    <row r="87" spans="1:11" x14ac:dyDescent="0.25">
      <c r="A87" t="s">
        <v>2659</v>
      </c>
      <c r="B87" s="18">
        <v>46232.773607951385</v>
      </c>
      <c r="C87" t="s">
        <v>301</v>
      </c>
      <c r="D87" t="s">
        <v>300</v>
      </c>
      <c r="E87" t="s">
        <v>209</v>
      </c>
      <c r="F87" t="s">
        <v>2607</v>
      </c>
      <c r="G87" t="s">
        <v>2608</v>
      </c>
      <c r="H87" t="s">
        <v>2618</v>
      </c>
      <c r="I87" t="s">
        <v>2610</v>
      </c>
      <c r="J87" t="s">
        <v>2660</v>
      </c>
      <c r="K87" t="s">
        <v>2612</v>
      </c>
    </row>
    <row r="88" spans="1:11" x14ac:dyDescent="0.25">
      <c r="A88" t="s">
        <v>2661</v>
      </c>
      <c r="B88" s="18">
        <v>46232.78410428241</v>
      </c>
      <c r="C88" t="s">
        <v>284</v>
      </c>
      <c r="D88" t="s">
        <v>276</v>
      </c>
      <c r="E88" t="s">
        <v>206</v>
      </c>
      <c r="F88" t="s">
        <v>2614</v>
      </c>
      <c r="G88" t="s">
        <v>2649</v>
      </c>
      <c r="H88" t="s">
        <v>2609</v>
      </c>
      <c r="I88">
        <v>1</v>
      </c>
      <c r="J88" t="s">
        <v>2662</v>
      </c>
      <c r="K88" t="s">
        <v>2612</v>
      </c>
    </row>
    <row r="89" spans="1:11" x14ac:dyDescent="0.25">
      <c r="A89" t="s">
        <v>2663</v>
      </c>
      <c r="B89" s="18">
        <v>46232.78410428241</v>
      </c>
      <c r="C89" t="s">
        <v>284</v>
      </c>
      <c r="D89" t="s">
        <v>276</v>
      </c>
      <c r="E89" t="s">
        <v>209</v>
      </c>
      <c r="F89" t="s">
        <v>2607</v>
      </c>
      <c r="G89" t="s">
        <v>2608</v>
      </c>
      <c r="H89" t="s">
        <v>2609</v>
      </c>
      <c r="I89" t="s">
        <v>2610</v>
      </c>
      <c r="J89" t="s">
        <v>2664</v>
      </c>
      <c r="K89" t="s">
        <v>2612</v>
      </c>
    </row>
    <row r="90" spans="1:11" x14ac:dyDescent="0.25">
      <c r="A90" t="s">
        <v>2665</v>
      </c>
      <c r="B90" s="18">
        <v>46234.733197800924</v>
      </c>
      <c r="C90" t="s">
        <v>97</v>
      </c>
      <c r="D90" t="s">
        <v>257</v>
      </c>
      <c r="E90" t="s">
        <v>206</v>
      </c>
      <c r="F90" t="s">
        <v>2607</v>
      </c>
      <c r="G90" t="s">
        <v>2608</v>
      </c>
      <c r="H90" t="s">
        <v>2609</v>
      </c>
      <c r="I90" t="s">
        <v>2610</v>
      </c>
      <c r="J90" t="s">
        <v>2666</v>
      </c>
      <c r="K90" t="s">
        <v>2612</v>
      </c>
    </row>
    <row r="91" spans="1:11" x14ac:dyDescent="0.25">
      <c r="A91" t="s">
        <v>2667</v>
      </c>
      <c r="B91" s="18">
        <v>46234.733197800924</v>
      </c>
      <c r="C91" t="s">
        <v>101</v>
      </c>
      <c r="D91" t="s">
        <v>257</v>
      </c>
      <c r="E91" t="s">
        <v>209</v>
      </c>
      <c r="F91" t="s">
        <v>2607</v>
      </c>
      <c r="G91" t="s">
        <v>2608</v>
      </c>
      <c r="H91" t="s">
        <v>2609</v>
      </c>
      <c r="I91" t="s">
        <v>2610</v>
      </c>
      <c r="J91" t="s">
        <v>2668</v>
      </c>
      <c r="K91" t="s">
        <v>2612</v>
      </c>
    </row>
    <row r="92" spans="1:11" x14ac:dyDescent="0.25">
      <c r="A92" t="s">
        <v>2669</v>
      </c>
      <c r="B92" s="18">
        <v>46234.733197800924</v>
      </c>
      <c r="C92" t="s">
        <v>102</v>
      </c>
      <c r="D92" t="s">
        <v>257</v>
      </c>
      <c r="E92" t="s">
        <v>206</v>
      </c>
      <c r="F92" t="s">
        <v>2607</v>
      </c>
      <c r="G92" t="s">
        <v>2608</v>
      </c>
      <c r="H92" t="s">
        <v>2609</v>
      </c>
      <c r="I92" t="s">
        <v>2610</v>
      </c>
      <c r="J92" t="s">
        <v>2670</v>
      </c>
      <c r="K92" t="s">
        <v>2612</v>
      </c>
    </row>
    <row r="93" spans="1:11" x14ac:dyDescent="0.25">
      <c r="A93" t="s">
        <v>2671</v>
      </c>
      <c r="B93" s="18">
        <v>46234.733197800924</v>
      </c>
      <c r="C93" t="s">
        <v>102</v>
      </c>
      <c r="D93" t="s">
        <v>257</v>
      </c>
      <c r="E93" t="s">
        <v>209</v>
      </c>
      <c r="F93" t="s">
        <v>2607</v>
      </c>
      <c r="G93" t="s">
        <v>2608</v>
      </c>
      <c r="H93" t="s">
        <v>2609</v>
      </c>
      <c r="I93" t="s">
        <v>2610</v>
      </c>
      <c r="J93" t="s">
        <v>2672</v>
      </c>
      <c r="K93" t="s">
        <v>2612</v>
      </c>
    </row>
    <row r="94" spans="1:11" x14ac:dyDescent="0.25">
      <c r="A94" t="s">
        <v>2673</v>
      </c>
      <c r="B94" s="18">
        <v>46234.733197800924</v>
      </c>
      <c r="C94" t="s">
        <v>104</v>
      </c>
      <c r="D94" t="s">
        <v>257</v>
      </c>
      <c r="E94" t="s">
        <v>209</v>
      </c>
      <c r="F94" t="s">
        <v>2607</v>
      </c>
      <c r="G94" t="s">
        <v>2608</v>
      </c>
      <c r="H94" t="s">
        <v>2618</v>
      </c>
      <c r="I94" t="s">
        <v>2610</v>
      </c>
      <c r="J94" t="s">
        <v>2674</v>
      </c>
      <c r="K94" t="s">
        <v>2612</v>
      </c>
    </row>
    <row r="95" spans="1:11" x14ac:dyDescent="0.25">
      <c r="A95" t="s">
        <v>2675</v>
      </c>
      <c r="B95" s="18">
        <v>46234.733197800924</v>
      </c>
      <c r="C95" t="s">
        <v>105</v>
      </c>
      <c r="D95" t="s">
        <v>257</v>
      </c>
      <c r="E95" t="s">
        <v>209</v>
      </c>
      <c r="F95" t="s">
        <v>2607</v>
      </c>
      <c r="G95" t="s">
        <v>2608</v>
      </c>
      <c r="H95" t="s">
        <v>2618</v>
      </c>
      <c r="I95" t="s">
        <v>2610</v>
      </c>
      <c r="J95" t="s">
        <v>2676</v>
      </c>
      <c r="K95" t="s">
        <v>2612</v>
      </c>
    </row>
    <row r="96" spans="1:11" x14ac:dyDescent="0.25">
      <c r="A96" t="s">
        <v>2677</v>
      </c>
      <c r="B96" s="18">
        <v>46234.7331978125</v>
      </c>
      <c r="C96" t="s">
        <v>106</v>
      </c>
      <c r="D96" t="s">
        <v>257</v>
      </c>
      <c r="E96" t="s">
        <v>206</v>
      </c>
      <c r="F96" t="s">
        <v>2607</v>
      </c>
      <c r="G96" t="s">
        <v>2608</v>
      </c>
      <c r="H96" t="s">
        <v>2618</v>
      </c>
      <c r="I96" t="s">
        <v>2610</v>
      </c>
      <c r="J96" t="s">
        <v>2678</v>
      </c>
      <c r="K96" t="s">
        <v>2612</v>
      </c>
    </row>
    <row r="97" spans="1:11" x14ac:dyDescent="0.25">
      <c r="A97" t="s">
        <v>2679</v>
      </c>
      <c r="B97" s="18">
        <v>46234.7331978125</v>
      </c>
      <c r="C97" t="s">
        <v>108</v>
      </c>
      <c r="D97" t="s">
        <v>257</v>
      </c>
      <c r="E97" t="s">
        <v>206</v>
      </c>
      <c r="F97" t="s">
        <v>2607</v>
      </c>
      <c r="G97" t="s">
        <v>2608</v>
      </c>
      <c r="H97" t="s">
        <v>2618</v>
      </c>
      <c r="I97" t="s">
        <v>2610</v>
      </c>
      <c r="J97" t="s">
        <v>2680</v>
      </c>
      <c r="K97" t="s">
        <v>2612</v>
      </c>
    </row>
    <row r="98" spans="1:11" x14ac:dyDescent="0.25">
      <c r="A98" t="s">
        <v>2681</v>
      </c>
      <c r="B98" s="18">
        <v>46234.7331978125</v>
      </c>
      <c r="C98" t="s">
        <v>108</v>
      </c>
      <c r="D98" t="s">
        <v>257</v>
      </c>
      <c r="E98" t="s">
        <v>209</v>
      </c>
      <c r="F98" t="s">
        <v>2614</v>
      </c>
      <c r="G98" t="s">
        <v>2649</v>
      </c>
      <c r="H98" t="s">
        <v>2618</v>
      </c>
      <c r="I98">
        <v>1</v>
      </c>
      <c r="J98" t="s">
        <v>2682</v>
      </c>
      <c r="K98" t="s">
        <v>2612</v>
      </c>
    </row>
    <row r="99" spans="1:11" x14ac:dyDescent="0.25">
      <c r="A99" t="s">
        <v>2683</v>
      </c>
      <c r="B99" s="18">
        <v>46234.7331978125</v>
      </c>
      <c r="C99" t="s">
        <v>114</v>
      </c>
      <c r="D99" t="s">
        <v>257</v>
      </c>
      <c r="E99" t="s">
        <v>206</v>
      </c>
      <c r="F99" t="s">
        <v>2614</v>
      </c>
      <c r="G99" t="s">
        <v>2649</v>
      </c>
      <c r="H99" t="s">
        <v>2618</v>
      </c>
      <c r="I99">
        <v>1</v>
      </c>
      <c r="J99" t="s">
        <v>2684</v>
      </c>
      <c r="K99" t="s">
        <v>2612</v>
      </c>
    </row>
    <row r="100" spans="1:11" x14ac:dyDescent="0.25">
      <c r="A100" t="s">
        <v>2685</v>
      </c>
      <c r="B100" s="18">
        <v>46234.7331978125</v>
      </c>
      <c r="C100" t="s">
        <v>115</v>
      </c>
      <c r="D100" t="s">
        <v>257</v>
      </c>
      <c r="E100" t="s">
        <v>206</v>
      </c>
      <c r="F100" t="s">
        <v>2607</v>
      </c>
      <c r="G100" t="s">
        <v>2608</v>
      </c>
      <c r="H100" t="s">
        <v>2609</v>
      </c>
      <c r="I100" t="s">
        <v>2610</v>
      </c>
      <c r="J100" t="s">
        <v>2686</v>
      </c>
      <c r="K100" t="s">
        <v>2612</v>
      </c>
    </row>
    <row r="101" spans="1:11" x14ac:dyDescent="0.25">
      <c r="A101" t="s">
        <v>2687</v>
      </c>
      <c r="B101" s="18">
        <v>46234.7331978125</v>
      </c>
      <c r="C101" t="s">
        <v>117</v>
      </c>
      <c r="D101" t="s">
        <v>294</v>
      </c>
      <c r="E101" t="s">
        <v>209</v>
      </c>
      <c r="F101" t="s">
        <v>2607</v>
      </c>
      <c r="G101" t="s">
        <v>2608</v>
      </c>
      <c r="H101" t="s">
        <v>2609</v>
      </c>
      <c r="I101" t="s">
        <v>2610</v>
      </c>
      <c r="J101" t="s">
        <v>2688</v>
      </c>
      <c r="K101" t="s">
        <v>2612</v>
      </c>
    </row>
    <row r="102" spans="1:11" x14ac:dyDescent="0.25">
      <c r="A102" t="s">
        <v>2689</v>
      </c>
      <c r="B102" s="18">
        <v>46234.7331978125</v>
      </c>
      <c r="C102" t="s">
        <v>120</v>
      </c>
      <c r="D102" t="s">
        <v>294</v>
      </c>
      <c r="E102" t="s">
        <v>209</v>
      </c>
      <c r="F102" t="s">
        <v>2607</v>
      </c>
      <c r="G102" t="s">
        <v>2608</v>
      </c>
      <c r="H102" t="s">
        <v>2609</v>
      </c>
      <c r="I102" t="s">
        <v>2610</v>
      </c>
      <c r="J102" t="s">
        <v>2690</v>
      </c>
      <c r="K102" t="s">
        <v>2612</v>
      </c>
    </row>
    <row r="103" spans="1:11" x14ac:dyDescent="0.25">
      <c r="A103" t="s">
        <v>2691</v>
      </c>
      <c r="B103" s="18">
        <v>46234.74378002315</v>
      </c>
      <c r="C103" t="s">
        <v>96</v>
      </c>
      <c r="D103" t="s">
        <v>288</v>
      </c>
      <c r="E103" t="s">
        <v>209</v>
      </c>
      <c r="F103" t="s">
        <v>2607</v>
      </c>
      <c r="G103" t="s">
        <v>2608</v>
      </c>
      <c r="H103" t="s">
        <v>2609</v>
      </c>
      <c r="I103" t="s">
        <v>2610</v>
      </c>
      <c r="J103" t="s">
        <v>2692</v>
      </c>
      <c r="K103" t="s">
        <v>2612</v>
      </c>
    </row>
    <row r="104" spans="1:11" x14ac:dyDescent="0.25">
      <c r="A104" t="s">
        <v>2693</v>
      </c>
      <c r="B104" s="18">
        <v>46234.74378002315</v>
      </c>
      <c r="C104" t="s">
        <v>118</v>
      </c>
      <c r="D104" t="s">
        <v>294</v>
      </c>
      <c r="E104" t="s">
        <v>209</v>
      </c>
      <c r="F104" t="s">
        <v>2607</v>
      </c>
      <c r="G104" t="s">
        <v>2608</v>
      </c>
      <c r="H104" t="s">
        <v>2609</v>
      </c>
      <c r="I104" t="s">
        <v>2610</v>
      </c>
      <c r="J104" t="s">
        <v>2694</v>
      </c>
      <c r="K104" t="s">
        <v>2612</v>
      </c>
    </row>
    <row r="105" spans="1:11" x14ac:dyDescent="0.25">
      <c r="A105" t="s">
        <v>2695</v>
      </c>
      <c r="B105" s="18">
        <v>46234.743780034725</v>
      </c>
      <c r="C105" t="s">
        <v>124</v>
      </c>
      <c r="D105" t="s">
        <v>305</v>
      </c>
      <c r="E105" t="s">
        <v>206</v>
      </c>
      <c r="F105" t="s">
        <v>2614</v>
      </c>
      <c r="G105" t="s">
        <v>2649</v>
      </c>
      <c r="H105" t="s">
        <v>2609</v>
      </c>
      <c r="I105">
        <v>1</v>
      </c>
      <c r="J105" t="s">
        <v>2696</v>
      </c>
      <c r="K105" t="s">
        <v>2612</v>
      </c>
    </row>
    <row r="106" spans="1:11" x14ac:dyDescent="0.25">
      <c r="A106" t="s">
        <v>2697</v>
      </c>
      <c r="B106" s="18">
        <v>46234.743780034725</v>
      </c>
      <c r="C106" t="s">
        <v>124</v>
      </c>
      <c r="D106" t="s">
        <v>305</v>
      </c>
      <c r="E106" t="s">
        <v>209</v>
      </c>
      <c r="F106" t="s">
        <v>2607</v>
      </c>
      <c r="G106" t="s">
        <v>2608</v>
      </c>
      <c r="H106" t="s">
        <v>2609</v>
      </c>
      <c r="I106" t="s">
        <v>2610</v>
      </c>
      <c r="J106" t="s">
        <v>2698</v>
      </c>
      <c r="K106" t="s">
        <v>2612</v>
      </c>
    </row>
    <row r="107" spans="1:11" x14ac:dyDescent="0.25">
      <c r="A107" t="s">
        <v>2699</v>
      </c>
      <c r="B107" s="18">
        <v>46234.743780034725</v>
      </c>
      <c r="C107" t="s">
        <v>125</v>
      </c>
      <c r="D107" t="s">
        <v>305</v>
      </c>
      <c r="E107" t="s">
        <v>206</v>
      </c>
      <c r="F107" t="s">
        <v>2614</v>
      </c>
      <c r="G107" t="s">
        <v>2649</v>
      </c>
      <c r="H107" t="s">
        <v>2609</v>
      </c>
      <c r="I107">
        <v>1</v>
      </c>
      <c r="J107" t="s">
        <v>2700</v>
      </c>
      <c r="K107" t="s">
        <v>2612</v>
      </c>
    </row>
    <row r="108" spans="1:11" x14ac:dyDescent="0.25">
      <c r="A108" t="s">
        <v>2701</v>
      </c>
      <c r="B108" s="18">
        <v>46234.743780034725</v>
      </c>
      <c r="C108" t="s">
        <v>125</v>
      </c>
      <c r="D108" t="s">
        <v>305</v>
      </c>
      <c r="E108" t="s">
        <v>209</v>
      </c>
      <c r="F108" t="s">
        <v>2607</v>
      </c>
      <c r="G108" t="s">
        <v>2608</v>
      </c>
      <c r="H108" t="s">
        <v>2609</v>
      </c>
      <c r="I108" t="s">
        <v>2610</v>
      </c>
      <c r="J108" t="s">
        <v>2702</v>
      </c>
      <c r="K108" t="s">
        <v>2612</v>
      </c>
    </row>
    <row r="109" spans="1:11" x14ac:dyDescent="0.25">
      <c r="A109" t="s">
        <v>2703</v>
      </c>
      <c r="B109" s="18">
        <v>46234.75436280093</v>
      </c>
      <c r="C109" t="s">
        <v>96</v>
      </c>
      <c r="D109" t="s">
        <v>288</v>
      </c>
      <c r="E109" t="s">
        <v>206</v>
      </c>
      <c r="F109" t="s">
        <v>2614</v>
      </c>
      <c r="G109" t="s">
        <v>2649</v>
      </c>
      <c r="H109" t="s">
        <v>2609</v>
      </c>
      <c r="I109">
        <v>1</v>
      </c>
      <c r="J109" t="s">
        <v>2704</v>
      </c>
      <c r="K109" t="s">
        <v>2612</v>
      </c>
    </row>
    <row r="110" spans="1:11" x14ac:dyDescent="0.25">
      <c r="A110" t="s">
        <v>2705</v>
      </c>
      <c r="B110" s="18">
        <v>46234.75436280093</v>
      </c>
      <c r="C110" t="s">
        <v>96</v>
      </c>
      <c r="D110" t="s">
        <v>288</v>
      </c>
      <c r="E110" t="s">
        <v>209</v>
      </c>
      <c r="F110" t="s">
        <v>2607</v>
      </c>
      <c r="G110" t="s">
        <v>2608</v>
      </c>
      <c r="H110" t="s">
        <v>2609</v>
      </c>
      <c r="I110" t="s">
        <v>2610</v>
      </c>
      <c r="J110" t="s">
        <v>2706</v>
      </c>
      <c r="K110" t="s">
        <v>2612</v>
      </c>
    </row>
    <row r="111" spans="1:11" x14ac:dyDescent="0.25">
      <c r="A111" t="s">
        <v>2707</v>
      </c>
      <c r="B111" s="18">
        <v>46234.7543628125</v>
      </c>
      <c r="C111" t="s">
        <v>117</v>
      </c>
      <c r="D111" t="s">
        <v>294</v>
      </c>
      <c r="E111" t="s">
        <v>209</v>
      </c>
      <c r="F111" t="s">
        <v>2607</v>
      </c>
      <c r="G111" t="s">
        <v>2608</v>
      </c>
      <c r="H111" t="s">
        <v>2618</v>
      </c>
      <c r="I111" t="s">
        <v>2610</v>
      </c>
      <c r="J111" t="s">
        <v>2708</v>
      </c>
      <c r="K111" t="s">
        <v>2612</v>
      </c>
    </row>
    <row r="112" spans="1:11" x14ac:dyDescent="0.25">
      <c r="A112" t="s">
        <v>2709</v>
      </c>
      <c r="B112" s="18">
        <v>46234.7543628125</v>
      </c>
      <c r="C112" t="s">
        <v>120</v>
      </c>
      <c r="D112" t="s">
        <v>294</v>
      </c>
      <c r="E112" t="s">
        <v>206</v>
      </c>
      <c r="F112" t="s">
        <v>2614</v>
      </c>
      <c r="G112" t="s">
        <v>2649</v>
      </c>
      <c r="H112" t="s">
        <v>2609</v>
      </c>
      <c r="I112">
        <v>1</v>
      </c>
      <c r="J112" t="s">
        <v>2710</v>
      </c>
      <c r="K112" t="s">
        <v>2612</v>
      </c>
    </row>
    <row r="113" spans="1:11" x14ac:dyDescent="0.25">
      <c r="A113" t="s">
        <v>2711</v>
      </c>
      <c r="B113" s="18">
        <v>46234.7543628125</v>
      </c>
      <c r="C113" t="s">
        <v>120</v>
      </c>
      <c r="D113" t="s">
        <v>294</v>
      </c>
      <c r="E113" t="s">
        <v>209</v>
      </c>
      <c r="F113" t="s">
        <v>2607</v>
      </c>
      <c r="G113" t="s">
        <v>2608</v>
      </c>
      <c r="H113" t="s">
        <v>2618</v>
      </c>
      <c r="I113" t="s">
        <v>2610</v>
      </c>
      <c r="J113" t="s">
        <v>2712</v>
      </c>
      <c r="K113" t="s">
        <v>2612</v>
      </c>
    </row>
    <row r="114" spans="1:11" x14ac:dyDescent="0.25">
      <c r="A114" t="s">
        <v>2713</v>
      </c>
      <c r="B114" s="18">
        <v>46237.76865435185</v>
      </c>
      <c r="C114" t="s">
        <v>92</v>
      </c>
      <c r="D114" t="s">
        <v>288</v>
      </c>
      <c r="E114" t="s">
        <v>206</v>
      </c>
      <c r="F114" t="s">
        <v>2607</v>
      </c>
      <c r="G114" t="s">
        <v>2608</v>
      </c>
      <c r="H114" t="s">
        <v>2609</v>
      </c>
      <c r="I114" t="s">
        <v>2610</v>
      </c>
      <c r="J114" t="s">
        <v>2714</v>
      </c>
      <c r="K114" t="s">
        <v>2612</v>
      </c>
    </row>
    <row r="115" spans="1:11" x14ac:dyDescent="0.25">
      <c r="A115" t="s">
        <v>2715</v>
      </c>
      <c r="B115" s="18">
        <v>46237.768654363426</v>
      </c>
      <c r="C115" t="s">
        <v>95</v>
      </c>
      <c r="D115" t="s">
        <v>288</v>
      </c>
      <c r="E115" t="s">
        <v>206</v>
      </c>
      <c r="F115" t="s">
        <v>2607</v>
      </c>
      <c r="G115" t="s">
        <v>2608</v>
      </c>
      <c r="H115" t="s">
        <v>2609</v>
      </c>
      <c r="I115" t="s">
        <v>2610</v>
      </c>
      <c r="J115" t="s">
        <v>2716</v>
      </c>
      <c r="K115" t="s">
        <v>2612</v>
      </c>
    </row>
    <row r="116" spans="1:11" x14ac:dyDescent="0.25">
      <c r="A116" t="s">
        <v>2717</v>
      </c>
      <c r="B116" s="18">
        <v>46237.768654363426</v>
      </c>
      <c r="C116" t="s">
        <v>100</v>
      </c>
      <c r="D116" t="s">
        <v>257</v>
      </c>
      <c r="E116" t="s">
        <v>206</v>
      </c>
      <c r="F116" t="s">
        <v>2607</v>
      </c>
      <c r="G116" t="s">
        <v>2608</v>
      </c>
      <c r="H116" t="s">
        <v>2618</v>
      </c>
      <c r="I116" t="s">
        <v>2610</v>
      </c>
      <c r="J116" t="s">
        <v>2718</v>
      </c>
      <c r="K116" t="s">
        <v>2612</v>
      </c>
    </row>
    <row r="117" spans="1:11" x14ac:dyDescent="0.25">
      <c r="A117" t="s">
        <v>2719</v>
      </c>
      <c r="B117" s="18">
        <v>46237.768654363426</v>
      </c>
      <c r="C117" t="s">
        <v>102</v>
      </c>
      <c r="D117" t="s">
        <v>257</v>
      </c>
      <c r="E117" t="s">
        <v>206</v>
      </c>
      <c r="F117" t="s">
        <v>2614</v>
      </c>
      <c r="G117" t="s">
        <v>2649</v>
      </c>
      <c r="H117" t="s">
        <v>2609</v>
      </c>
      <c r="I117">
        <v>1</v>
      </c>
      <c r="J117" t="s">
        <v>2720</v>
      </c>
      <c r="K117" t="s">
        <v>2612</v>
      </c>
    </row>
    <row r="118" spans="1:11" x14ac:dyDescent="0.25">
      <c r="A118" t="s">
        <v>2721</v>
      </c>
      <c r="B118" s="18">
        <v>46237.768654363426</v>
      </c>
      <c r="C118" t="s">
        <v>102</v>
      </c>
      <c r="D118" t="s">
        <v>257</v>
      </c>
      <c r="E118" t="s">
        <v>209</v>
      </c>
      <c r="F118" t="s">
        <v>2607</v>
      </c>
      <c r="G118" t="s">
        <v>2608</v>
      </c>
      <c r="H118" t="s">
        <v>2609</v>
      </c>
      <c r="I118" t="s">
        <v>2610</v>
      </c>
      <c r="J118" t="s">
        <v>2722</v>
      </c>
      <c r="K118" t="s">
        <v>2612</v>
      </c>
    </row>
    <row r="119" spans="1:11" x14ac:dyDescent="0.25">
      <c r="A119" t="s">
        <v>2723</v>
      </c>
      <c r="B119" s="18">
        <v>46237.768654363426</v>
      </c>
      <c r="C119" t="s">
        <v>107</v>
      </c>
      <c r="D119" t="s">
        <v>257</v>
      </c>
      <c r="E119" t="s">
        <v>206</v>
      </c>
      <c r="F119" t="s">
        <v>2607</v>
      </c>
      <c r="G119" t="s">
        <v>2608</v>
      </c>
      <c r="H119" t="s">
        <v>2609</v>
      </c>
      <c r="I119" t="s">
        <v>2610</v>
      </c>
      <c r="J119" t="s">
        <v>2724</v>
      </c>
      <c r="K119" t="s">
        <v>2612</v>
      </c>
    </row>
    <row r="120" spans="1:11" x14ac:dyDescent="0.25">
      <c r="A120" t="s">
        <v>2725</v>
      </c>
      <c r="B120" s="18">
        <v>46237.768654363426</v>
      </c>
      <c r="C120" t="s">
        <v>108</v>
      </c>
      <c r="D120" t="s">
        <v>257</v>
      </c>
      <c r="E120" t="s">
        <v>209</v>
      </c>
      <c r="F120" t="s">
        <v>2607</v>
      </c>
      <c r="G120" t="s">
        <v>2608</v>
      </c>
      <c r="H120" t="s">
        <v>2618</v>
      </c>
      <c r="I120" t="s">
        <v>2610</v>
      </c>
      <c r="J120" t="s">
        <v>2726</v>
      </c>
      <c r="K120" t="s">
        <v>2612</v>
      </c>
    </row>
    <row r="121" spans="1:11" x14ac:dyDescent="0.25">
      <c r="A121" t="s">
        <v>2727</v>
      </c>
      <c r="B121" s="18">
        <v>46237.768654363426</v>
      </c>
      <c r="C121" t="s">
        <v>109</v>
      </c>
      <c r="D121" t="s">
        <v>257</v>
      </c>
      <c r="E121" t="s">
        <v>206</v>
      </c>
      <c r="F121" t="s">
        <v>2607</v>
      </c>
      <c r="G121" t="s">
        <v>2608</v>
      </c>
      <c r="H121" t="s">
        <v>2618</v>
      </c>
      <c r="I121" t="s">
        <v>2610</v>
      </c>
      <c r="J121" t="s">
        <v>2728</v>
      </c>
      <c r="K121" t="s">
        <v>2612</v>
      </c>
    </row>
    <row r="122" spans="1:11" x14ac:dyDescent="0.25">
      <c r="A122" t="s">
        <v>2729</v>
      </c>
      <c r="B122" s="18">
        <v>46237.768654363426</v>
      </c>
      <c r="C122" t="s">
        <v>111</v>
      </c>
      <c r="D122" t="s">
        <v>257</v>
      </c>
      <c r="E122" t="s">
        <v>206</v>
      </c>
      <c r="F122" t="s">
        <v>2607</v>
      </c>
      <c r="G122" t="s">
        <v>2608</v>
      </c>
      <c r="H122" t="s">
        <v>2618</v>
      </c>
      <c r="I122" t="s">
        <v>2610</v>
      </c>
      <c r="J122" t="s">
        <v>2730</v>
      </c>
      <c r="K122" t="s">
        <v>2612</v>
      </c>
    </row>
    <row r="123" spans="1:11" x14ac:dyDescent="0.25">
      <c r="A123" t="s">
        <v>2731</v>
      </c>
      <c r="B123" s="18">
        <v>46237.768654363426</v>
      </c>
      <c r="C123" t="s">
        <v>111</v>
      </c>
      <c r="D123" t="s">
        <v>257</v>
      </c>
      <c r="E123" t="s">
        <v>209</v>
      </c>
      <c r="F123" t="s">
        <v>2607</v>
      </c>
      <c r="G123" t="s">
        <v>2608</v>
      </c>
      <c r="H123" t="s">
        <v>2618</v>
      </c>
      <c r="I123" t="s">
        <v>2610</v>
      </c>
      <c r="J123" t="s">
        <v>2732</v>
      </c>
      <c r="K123" t="s">
        <v>2612</v>
      </c>
    </row>
    <row r="124" spans="1:11" x14ac:dyDescent="0.25">
      <c r="A124" t="s">
        <v>2733</v>
      </c>
      <c r="B124" s="18">
        <v>46237.768654363426</v>
      </c>
      <c r="C124" t="s">
        <v>112</v>
      </c>
      <c r="D124" t="s">
        <v>257</v>
      </c>
      <c r="E124" t="s">
        <v>206</v>
      </c>
      <c r="F124" t="s">
        <v>2607</v>
      </c>
      <c r="G124" t="s">
        <v>2608</v>
      </c>
      <c r="H124" t="s">
        <v>2618</v>
      </c>
      <c r="I124" t="s">
        <v>2610</v>
      </c>
      <c r="J124" t="s">
        <v>2734</v>
      </c>
      <c r="K124" t="s">
        <v>2612</v>
      </c>
    </row>
    <row r="125" spans="1:11" x14ac:dyDescent="0.25">
      <c r="A125" t="s">
        <v>2735</v>
      </c>
      <c r="B125" s="18">
        <v>46237.768654363426</v>
      </c>
      <c r="C125" t="s">
        <v>113</v>
      </c>
      <c r="D125" t="s">
        <v>257</v>
      </c>
      <c r="E125" t="s">
        <v>209</v>
      </c>
      <c r="F125" t="s">
        <v>2607</v>
      </c>
      <c r="G125" t="s">
        <v>2608</v>
      </c>
      <c r="H125" t="s">
        <v>2618</v>
      </c>
      <c r="I125" t="s">
        <v>2610</v>
      </c>
      <c r="J125" t="s">
        <v>2736</v>
      </c>
      <c r="K125" t="s">
        <v>2612</v>
      </c>
    </row>
    <row r="126" spans="1:11" x14ac:dyDescent="0.25">
      <c r="A126" t="s">
        <v>2737</v>
      </c>
      <c r="B126" s="18">
        <v>46237.768654363426</v>
      </c>
      <c r="C126" t="s">
        <v>120</v>
      </c>
      <c r="D126" t="s">
        <v>294</v>
      </c>
      <c r="E126" t="s">
        <v>206</v>
      </c>
      <c r="F126" t="s">
        <v>2607</v>
      </c>
      <c r="G126" t="s">
        <v>2608</v>
      </c>
      <c r="H126" t="s">
        <v>2618</v>
      </c>
      <c r="I126" t="s">
        <v>2610</v>
      </c>
      <c r="J126" t="s">
        <v>2738</v>
      </c>
      <c r="K126" t="s">
        <v>2612</v>
      </c>
    </row>
    <row r="127" spans="1:11" x14ac:dyDescent="0.25">
      <c r="A127" t="s">
        <v>2739</v>
      </c>
      <c r="B127" s="18">
        <v>46237.768654363426</v>
      </c>
      <c r="C127" t="s">
        <v>121</v>
      </c>
      <c r="D127" t="s">
        <v>294</v>
      </c>
      <c r="E127" t="s">
        <v>206</v>
      </c>
      <c r="F127" t="s">
        <v>2607</v>
      </c>
      <c r="G127" t="s">
        <v>2608</v>
      </c>
      <c r="H127" t="s">
        <v>2618</v>
      </c>
      <c r="I127" t="s">
        <v>2610</v>
      </c>
      <c r="J127" t="s">
        <v>2740</v>
      </c>
      <c r="K127" t="s">
        <v>2612</v>
      </c>
    </row>
    <row r="128" spans="1:11" x14ac:dyDescent="0.25">
      <c r="A128" t="s">
        <v>2741</v>
      </c>
      <c r="B128" s="18">
        <v>46237.768654363426</v>
      </c>
      <c r="C128" t="s">
        <v>125</v>
      </c>
      <c r="D128" t="s">
        <v>305</v>
      </c>
      <c r="E128" t="s">
        <v>209</v>
      </c>
      <c r="F128" t="s">
        <v>2607</v>
      </c>
      <c r="G128" t="s">
        <v>2608</v>
      </c>
      <c r="H128" t="s">
        <v>2609</v>
      </c>
      <c r="I128" t="s">
        <v>2610</v>
      </c>
      <c r="J128" t="s">
        <v>2742</v>
      </c>
      <c r="K128" t="s">
        <v>2612</v>
      </c>
    </row>
    <row r="129" spans="1:11" x14ac:dyDescent="0.25">
      <c r="A129" t="s">
        <v>2743</v>
      </c>
      <c r="B129" s="18">
        <v>46237.77923315972</v>
      </c>
      <c r="C129" t="s">
        <v>116</v>
      </c>
      <c r="D129" t="s">
        <v>294</v>
      </c>
      <c r="E129" t="s">
        <v>206</v>
      </c>
      <c r="F129" t="s">
        <v>2607</v>
      </c>
      <c r="G129" t="s">
        <v>2608</v>
      </c>
      <c r="H129" t="s">
        <v>2618</v>
      </c>
      <c r="I129" t="s">
        <v>2610</v>
      </c>
      <c r="J129" t="s">
        <v>2744</v>
      </c>
      <c r="K129" t="s">
        <v>2612</v>
      </c>
    </row>
    <row r="130" spans="1:11" x14ac:dyDescent="0.25">
      <c r="A130" t="s">
        <v>2745</v>
      </c>
      <c r="B130" s="18">
        <v>46237.77923315972</v>
      </c>
      <c r="C130" t="s">
        <v>117</v>
      </c>
      <c r="D130" t="s">
        <v>294</v>
      </c>
      <c r="E130" t="s">
        <v>206</v>
      </c>
      <c r="F130" t="s">
        <v>2607</v>
      </c>
      <c r="G130" t="s">
        <v>2608</v>
      </c>
      <c r="H130" t="s">
        <v>2618</v>
      </c>
      <c r="I130" t="s">
        <v>2610</v>
      </c>
      <c r="J130" t="s">
        <v>2746</v>
      </c>
      <c r="K130" t="s">
        <v>2612</v>
      </c>
    </row>
    <row r="131" spans="1:11" x14ac:dyDescent="0.25">
      <c r="A131" t="s">
        <v>2747</v>
      </c>
      <c r="B131" s="18">
        <v>46237.77923315972</v>
      </c>
      <c r="C131" t="s">
        <v>118</v>
      </c>
      <c r="D131" t="s">
        <v>294</v>
      </c>
      <c r="E131" t="s">
        <v>206</v>
      </c>
      <c r="F131" t="s">
        <v>2607</v>
      </c>
      <c r="G131" t="s">
        <v>2608</v>
      </c>
      <c r="H131" t="s">
        <v>2609</v>
      </c>
      <c r="I131" t="s">
        <v>2610</v>
      </c>
      <c r="J131" t="s">
        <v>2748</v>
      </c>
      <c r="K131" t="s">
        <v>2612</v>
      </c>
    </row>
    <row r="132" spans="1:11" x14ac:dyDescent="0.25">
      <c r="A132" t="s">
        <v>2749</v>
      </c>
      <c r="B132" s="18">
        <v>46245.72361586806</v>
      </c>
      <c r="C132" t="s">
        <v>92</v>
      </c>
      <c r="D132" t="s">
        <v>288</v>
      </c>
      <c r="E132" t="s">
        <v>209</v>
      </c>
      <c r="F132" t="s">
        <v>2607</v>
      </c>
      <c r="G132" t="s">
        <v>2608</v>
      </c>
      <c r="H132" t="s">
        <v>2618</v>
      </c>
      <c r="I132" t="s">
        <v>2610</v>
      </c>
      <c r="J132" t="s">
        <v>2750</v>
      </c>
      <c r="K132" t="s">
        <v>2612</v>
      </c>
    </row>
    <row r="133" spans="1:11" x14ac:dyDescent="0.25">
      <c r="A133" t="s">
        <v>2751</v>
      </c>
      <c r="B133" s="18">
        <v>46245.72361586806</v>
      </c>
      <c r="C133" t="s">
        <v>95</v>
      </c>
      <c r="D133" t="s">
        <v>288</v>
      </c>
      <c r="E133" t="s">
        <v>209</v>
      </c>
      <c r="F133" t="s">
        <v>2607</v>
      </c>
      <c r="G133" t="s">
        <v>2608</v>
      </c>
      <c r="H133" t="s">
        <v>2618</v>
      </c>
      <c r="I133" t="s">
        <v>2610</v>
      </c>
      <c r="J133" t="s">
        <v>2752</v>
      </c>
      <c r="K133" t="s">
        <v>2612</v>
      </c>
    </row>
    <row r="134" spans="1:11" x14ac:dyDescent="0.25">
      <c r="A134" t="s">
        <v>2753</v>
      </c>
      <c r="B134" s="18">
        <v>46245.72361586806</v>
      </c>
      <c r="C134" t="s">
        <v>96</v>
      </c>
      <c r="D134" t="s">
        <v>288</v>
      </c>
      <c r="E134" t="s">
        <v>209</v>
      </c>
      <c r="F134" t="s">
        <v>2607</v>
      </c>
      <c r="G134" t="s">
        <v>2608</v>
      </c>
      <c r="H134" t="s">
        <v>2609</v>
      </c>
      <c r="I134" t="s">
        <v>2610</v>
      </c>
      <c r="J134" t="s">
        <v>2754</v>
      </c>
      <c r="K134" t="s">
        <v>2612</v>
      </c>
    </row>
    <row r="135" spans="1:11" x14ac:dyDescent="0.25">
      <c r="A135" t="s">
        <v>2755</v>
      </c>
      <c r="B135" s="18">
        <v>46245.72361586806</v>
      </c>
      <c r="C135" t="s">
        <v>97</v>
      </c>
      <c r="D135" t="s">
        <v>257</v>
      </c>
      <c r="E135" t="s">
        <v>206</v>
      </c>
      <c r="F135" t="s">
        <v>2607</v>
      </c>
      <c r="G135" t="s">
        <v>2608</v>
      </c>
      <c r="H135" t="s">
        <v>2609</v>
      </c>
      <c r="I135" t="s">
        <v>2610</v>
      </c>
      <c r="J135" t="s">
        <v>2756</v>
      </c>
      <c r="K135" t="s">
        <v>2612</v>
      </c>
    </row>
    <row r="136" spans="1:11" x14ac:dyDescent="0.25">
      <c r="A136" t="s">
        <v>2757</v>
      </c>
      <c r="B136" s="18">
        <v>46245.72361586806</v>
      </c>
      <c r="C136" t="s">
        <v>99</v>
      </c>
      <c r="D136" t="s">
        <v>257</v>
      </c>
      <c r="E136" t="s">
        <v>206</v>
      </c>
      <c r="F136" t="s">
        <v>2607</v>
      </c>
      <c r="G136" t="s">
        <v>2608</v>
      </c>
      <c r="H136" t="s">
        <v>2618</v>
      </c>
      <c r="I136" t="s">
        <v>2610</v>
      </c>
      <c r="J136" t="s">
        <v>2758</v>
      </c>
      <c r="K136" t="s">
        <v>2612</v>
      </c>
    </row>
    <row r="137" spans="1:11" x14ac:dyDescent="0.25">
      <c r="A137" t="s">
        <v>2759</v>
      </c>
      <c r="B137" s="18">
        <v>46245.72361586806</v>
      </c>
      <c r="C137" t="s">
        <v>106</v>
      </c>
      <c r="D137" t="s">
        <v>257</v>
      </c>
      <c r="E137" t="s">
        <v>206</v>
      </c>
      <c r="F137" t="s">
        <v>2614</v>
      </c>
      <c r="G137" t="s">
        <v>2649</v>
      </c>
      <c r="H137" t="s">
        <v>2618</v>
      </c>
      <c r="I137">
        <v>1</v>
      </c>
      <c r="J137" t="s">
        <v>2760</v>
      </c>
      <c r="K137" t="s">
        <v>2612</v>
      </c>
    </row>
    <row r="138" spans="1:11" x14ac:dyDescent="0.25">
      <c r="A138" t="s">
        <v>2761</v>
      </c>
      <c r="B138" s="18">
        <v>46245.72361586806</v>
      </c>
      <c r="C138" t="s">
        <v>106</v>
      </c>
      <c r="D138" t="s">
        <v>257</v>
      </c>
      <c r="E138" t="s">
        <v>209</v>
      </c>
      <c r="F138" t="s">
        <v>2607</v>
      </c>
      <c r="G138" t="s">
        <v>2608</v>
      </c>
      <c r="H138" t="s">
        <v>2618</v>
      </c>
      <c r="I138" t="s">
        <v>2610</v>
      </c>
      <c r="J138" t="s">
        <v>2762</v>
      </c>
      <c r="K138" t="s">
        <v>2612</v>
      </c>
    </row>
    <row r="139" spans="1:11" x14ac:dyDescent="0.25">
      <c r="A139" t="s">
        <v>2763</v>
      </c>
      <c r="B139" s="18">
        <v>46245.72361587963</v>
      </c>
      <c r="C139" t="s">
        <v>108</v>
      </c>
      <c r="D139" t="s">
        <v>257</v>
      </c>
      <c r="E139" t="s">
        <v>206</v>
      </c>
      <c r="F139" t="s">
        <v>2614</v>
      </c>
      <c r="G139" t="s">
        <v>2649</v>
      </c>
      <c r="H139" t="s">
        <v>2618</v>
      </c>
      <c r="I139">
        <v>1</v>
      </c>
      <c r="J139" t="s">
        <v>2764</v>
      </c>
      <c r="K139" t="s">
        <v>2612</v>
      </c>
    </row>
    <row r="140" spans="1:11" x14ac:dyDescent="0.25">
      <c r="A140" t="s">
        <v>2765</v>
      </c>
      <c r="B140" s="18">
        <v>46245.72361587963</v>
      </c>
      <c r="C140" t="s">
        <v>108</v>
      </c>
      <c r="D140" t="s">
        <v>257</v>
      </c>
      <c r="E140" t="s">
        <v>209</v>
      </c>
      <c r="F140" t="s">
        <v>2614</v>
      </c>
      <c r="G140" t="s">
        <v>2649</v>
      </c>
      <c r="H140" t="s">
        <v>2618</v>
      </c>
      <c r="I140">
        <v>1</v>
      </c>
      <c r="J140" t="s">
        <v>2766</v>
      </c>
      <c r="K140" t="s">
        <v>2612</v>
      </c>
    </row>
    <row r="141" spans="1:11" x14ac:dyDescent="0.25">
      <c r="A141" t="s">
        <v>2767</v>
      </c>
      <c r="B141" s="18">
        <v>46245.72361587963</v>
      </c>
      <c r="C141" t="s">
        <v>110</v>
      </c>
      <c r="D141" t="s">
        <v>257</v>
      </c>
      <c r="E141" t="s">
        <v>206</v>
      </c>
      <c r="F141" t="s">
        <v>2607</v>
      </c>
      <c r="G141" t="s">
        <v>2608</v>
      </c>
      <c r="H141" t="s">
        <v>2618</v>
      </c>
      <c r="I141" t="s">
        <v>2610</v>
      </c>
      <c r="J141" t="s">
        <v>2768</v>
      </c>
      <c r="K141" t="s">
        <v>2612</v>
      </c>
    </row>
    <row r="142" spans="1:11" x14ac:dyDescent="0.25">
      <c r="A142" t="s">
        <v>2769</v>
      </c>
      <c r="B142" s="18">
        <v>46245.72361587963</v>
      </c>
      <c r="C142" t="s">
        <v>112</v>
      </c>
      <c r="D142" t="s">
        <v>257</v>
      </c>
      <c r="E142" t="s">
        <v>209</v>
      </c>
      <c r="F142" t="s">
        <v>2607</v>
      </c>
      <c r="G142" t="s">
        <v>2608</v>
      </c>
      <c r="H142" t="s">
        <v>2618</v>
      </c>
      <c r="I142" t="s">
        <v>2610</v>
      </c>
      <c r="J142" t="s">
        <v>2770</v>
      </c>
      <c r="K142" t="s">
        <v>2612</v>
      </c>
    </row>
    <row r="143" spans="1:11" x14ac:dyDescent="0.25">
      <c r="A143" t="s">
        <v>2771</v>
      </c>
      <c r="B143" s="18">
        <v>46245.72361587963</v>
      </c>
      <c r="C143" t="s">
        <v>113</v>
      </c>
      <c r="D143" t="s">
        <v>257</v>
      </c>
      <c r="E143" t="s">
        <v>206</v>
      </c>
      <c r="F143" t="s">
        <v>2607</v>
      </c>
      <c r="G143" t="s">
        <v>2608</v>
      </c>
      <c r="H143" t="s">
        <v>2618</v>
      </c>
      <c r="I143" t="s">
        <v>2610</v>
      </c>
      <c r="J143" t="s">
        <v>2772</v>
      </c>
      <c r="K143" t="s">
        <v>2612</v>
      </c>
    </row>
    <row r="144" spans="1:11" x14ac:dyDescent="0.25">
      <c r="A144" t="s">
        <v>2773</v>
      </c>
      <c r="B144" s="18">
        <v>46245.72361587963</v>
      </c>
      <c r="C144" t="s">
        <v>113</v>
      </c>
      <c r="D144" t="s">
        <v>257</v>
      </c>
      <c r="E144" t="s">
        <v>209</v>
      </c>
      <c r="F144" t="s">
        <v>2607</v>
      </c>
      <c r="G144" t="s">
        <v>2608</v>
      </c>
      <c r="H144" t="s">
        <v>2618</v>
      </c>
      <c r="I144" t="s">
        <v>2610</v>
      </c>
      <c r="J144" t="s">
        <v>2774</v>
      </c>
      <c r="K144" t="s">
        <v>2612</v>
      </c>
    </row>
    <row r="145" spans="1:11" x14ac:dyDescent="0.25">
      <c r="A145" t="s">
        <v>2775</v>
      </c>
      <c r="B145" s="18">
        <v>46245.72361587963</v>
      </c>
      <c r="C145" t="s">
        <v>115</v>
      </c>
      <c r="D145" t="s">
        <v>257</v>
      </c>
      <c r="E145" t="s">
        <v>206</v>
      </c>
      <c r="F145" t="s">
        <v>2607</v>
      </c>
      <c r="G145" t="s">
        <v>2608</v>
      </c>
      <c r="H145" t="s">
        <v>2609</v>
      </c>
      <c r="I145" t="s">
        <v>2610</v>
      </c>
      <c r="J145" t="s">
        <v>2776</v>
      </c>
      <c r="K145" t="s">
        <v>2612</v>
      </c>
    </row>
    <row r="146" spans="1:11" x14ac:dyDescent="0.25">
      <c r="A146" t="s">
        <v>2777</v>
      </c>
      <c r="B146" s="18">
        <v>46245.72361587963</v>
      </c>
      <c r="C146" t="s">
        <v>118</v>
      </c>
      <c r="D146" t="s">
        <v>294</v>
      </c>
      <c r="E146" t="s">
        <v>209</v>
      </c>
      <c r="F146" t="s">
        <v>2614</v>
      </c>
      <c r="G146" t="s">
        <v>2649</v>
      </c>
      <c r="H146" t="s">
        <v>2618</v>
      </c>
      <c r="I146">
        <v>1</v>
      </c>
      <c r="J146" t="s">
        <v>2778</v>
      </c>
      <c r="K146" t="s">
        <v>2612</v>
      </c>
    </row>
    <row r="147" spans="1:11" x14ac:dyDescent="0.25">
      <c r="A147" t="s">
        <v>2779</v>
      </c>
      <c r="B147" s="18">
        <v>46245.72361587963</v>
      </c>
      <c r="C147" t="s">
        <v>121</v>
      </c>
      <c r="D147" t="s">
        <v>294</v>
      </c>
      <c r="E147" t="s">
        <v>206</v>
      </c>
      <c r="F147" t="s">
        <v>2607</v>
      </c>
      <c r="G147" t="s">
        <v>2608</v>
      </c>
      <c r="H147" t="s">
        <v>2609</v>
      </c>
      <c r="I147" t="s">
        <v>2610</v>
      </c>
      <c r="J147" t="s">
        <v>2780</v>
      </c>
      <c r="K147" t="s">
        <v>2612</v>
      </c>
    </row>
    <row r="148" spans="1:11" x14ac:dyDescent="0.25">
      <c r="A148" t="s">
        <v>2781</v>
      </c>
      <c r="B148" s="18">
        <v>46245.72361587963</v>
      </c>
      <c r="C148" t="s">
        <v>123</v>
      </c>
      <c r="D148" t="s">
        <v>294</v>
      </c>
      <c r="E148" t="s">
        <v>209</v>
      </c>
      <c r="F148" t="s">
        <v>2607</v>
      </c>
      <c r="G148" t="s">
        <v>2608</v>
      </c>
      <c r="H148" t="s">
        <v>2609</v>
      </c>
      <c r="I148" t="s">
        <v>2610</v>
      </c>
      <c r="J148" t="s">
        <v>2782</v>
      </c>
      <c r="K148" t="s">
        <v>2612</v>
      </c>
    </row>
    <row r="149" spans="1:11" x14ac:dyDescent="0.25">
      <c r="A149" t="s">
        <v>2783</v>
      </c>
      <c r="B149" s="18">
        <v>46245.734173715275</v>
      </c>
      <c r="C149" t="s">
        <v>118</v>
      </c>
      <c r="D149" t="s">
        <v>294</v>
      </c>
      <c r="E149" t="s">
        <v>206</v>
      </c>
      <c r="F149" t="s">
        <v>2607</v>
      </c>
      <c r="G149" t="s">
        <v>2608</v>
      </c>
      <c r="H149" t="s">
        <v>2609</v>
      </c>
      <c r="I149" t="s">
        <v>2610</v>
      </c>
      <c r="J149" t="s">
        <v>2784</v>
      </c>
      <c r="K149" t="s">
        <v>2612</v>
      </c>
    </row>
    <row r="150" spans="1:11" x14ac:dyDescent="0.25">
      <c r="A150" t="s">
        <v>2785</v>
      </c>
      <c r="B150" s="18">
        <v>46245.734173715275</v>
      </c>
      <c r="C150" t="s">
        <v>118</v>
      </c>
      <c r="D150" t="s">
        <v>294</v>
      </c>
      <c r="E150" t="s">
        <v>209</v>
      </c>
      <c r="F150" t="s">
        <v>2607</v>
      </c>
      <c r="G150" t="s">
        <v>2608</v>
      </c>
      <c r="H150" t="s">
        <v>2609</v>
      </c>
      <c r="I150" t="s">
        <v>2610</v>
      </c>
      <c r="J150" t="s">
        <v>2786</v>
      </c>
      <c r="K150" t="s">
        <v>2612</v>
      </c>
    </row>
    <row r="151" spans="1:11" x14ac:dyDescent="0.25">
      <c r="A151" t="s">
        <v>2787</v>
      </c>
      <c r="B151" s="18">
        <v>46245.74475986111</v>
      </c>
      <c r="C151" t="s">
        <v>95</v>
      </c>
      <c r="D151" t="s">
        <v>288</v>
      </c>
      <c r="E151" t="s">
        <v>206</v>
      </c>
      <c r="F151" t="s">
        <v>2607</v>
      </c>
      <c r="G151" t="s">
        <v>2608</v>
      </c>
      <c r="H151" t="s">
        <v>2609</v>
      </c>
      <c r="I151" t="s">
        <v>2610</v>
      </c>
      <c r="J151" t="s">
        <v>2788</v>
      </c>
      <c r="K151" t="s">
        <v>2612</v>
      </c>
    </row>
    <row r="152" spans="1:11" x14ac:dyDescent="0.25">
      <c r="A152" t="s">
        <v>2789</v>
      </c>
      <c r="B152" s="18">
        <v>46245.74475986111</v>
      </c>
      <c r="C152" t="s">
        <v>95</v>
      </c>
      <c r="D152" t="s">
        <v>288</v>
      </c>
      <c r="E152" t="s">
        <v>206</v>
      </c>
      <c r="F152" t="s">
        <v>2614</v>
      </c>
      <c r="G152" t="s">
        <v>2649</v>
      </c>
      <c r="H152" t="s">
        <v>2609</v>
      </c>
      <c r="I152">
        <v>1</v>
      </c>
      <c r="J152" t="s">
        <v>2790</v>
      </c>
      <c r="K152" t="s">
        <v>2612</v>
      </c>
    </row>
    <row r="153" spans="1:11" x14ac:dyDescent="0.25">
      <c r="A153" t="s">
        <v>2791</v>
      </c>
      <c r="B153" s="18">
        <v>46245.74475986111</v>
      </c>
      <c r="C153" t="s">
        <v>118</v>
      </c>
      <c r="D153" t="s">
        <v>294</v>
      </c>
      <c r="E153" t="s">
        <v>206</v>
      </c>
      <c r="F153" t="s">
        <v>2607</v>
      </c>
      <c r="G153" t="s">
        <v>2608</v>
      </c>
      <c r="H153" t="s">
        <v>2609</v>
      </c>
      <c r="I153" t="s">
        <v>2610</v>
      </c>
      <c r="J153" t="s">
        <v>2792</v>
      </c>
      <c r="K153" t="s">
        <v>2612</v>
      </c>
    </row>
    <row r="154" spans="1:11" x14ac:dyDescent="0.25">
      <c r="A154" t="s">
        <v>2793</v>
      </c>
      <c r="B154" s="18">
        <v>46245.74475986111</v>
      </c>
      <c r="C154" t="s">
        <v>119</v>
      </c>
      <c r="D154" t="s">
        <v>294</v>
      </c>
      <c r="E154" t="s">
        <v>206</v>
      </c>
      <c r="F154" t="s">
        <v>2607</v>
      </c>
      <c r="G154" t="s">
        <v>2608</v>
      </c>
      <c r="H154" t="s">
        <v>2609</v>
      </c>
      <c r="I154" t="s">
        <v>2610</v>
      </c>
      <c r="J154" t="s">
        <v>2794</v>
      </c>
      <c r="K154" t="s">
        <v>2612</v>
      </c>
    </row>
    <row r="155" spans="1:11" x14ac:dyDescent="0.25">
      <c r="A155" t="s">
        <v>2795</v>
      </c>
      <c r="B155" s="18">
        <v>46245.74475986111</v>
      </c>
      <c r="C155" t="s">
        <v>122</v>
      </c>
      <c r="D155" t="s">
        <v>294</v>
      </c>
      <c r="E155" t="s">
        <v>206</v>
      </c>
      <c r="F155" t="s">
        <v>2607</v>
      </c>
      <c r="G155" t="s">
        <v>2608</v>
      </c>
      <c r="H155" t="s">
        <v>2618</v>
      </c>
      <c r="I155" t="s">
        <v>2610</v>
      </c>
      <c r="J155" t="s">
        <v>2796</v>
      </c>
      <c r="K155" t="s">
        <v>2612</v>
      </c>
    </row>
    <row r="156" spans="1:11" x14ac:dyDescent="0.25">
      <c r="A156" t="s">
        <v>2797</v>
      </c>
      <c r="B156" s="18">
        <v>46247.621475567124</v>
      </c>
      <c r="C156" t="s">
        <v>92</v>
      </c>
      <c r="D156" t="s">
        <v>288</v>
      </c>
      <c r="E156" t="s">
        <v>209</v>
      </c>
      <c r="F156" t="s">
        <v>2614</v>
      </c>
      <c r="G156" t="s">
        <v>2649</v>
      </c>
      <c r="H156" t="s">
        <v>2609</v>
      </c>
      <c r="I156">
        <v>1</v>
      </c>
      <c r="J156" t="s">
        <v>2798</v>
      </c>
      <c r="K156" t="s">
        <v>2612</v>
      </c>
    </row>
    <row r="157" spans="1:11" x14ac:dyDescent="0.25">
      <c r="A157" t="s">
        <v>2799</v>
      </c>
      <c r="B157" s="18">
        <v>46247.621475567124</v>
      </c>
      <c r="C157" t="s">
        <v>96</v>
      </c>
      <c r="D157" t="s">
        <v>288</v>
      </c>
      <c r="E157" t="s">
        <v>206</v>
      </c>
      <c r="F157" t="s">
        <v>2607</v>
      </c>
      <c r="G157" t="s">
        <v>2608</v>
      </c>
      <c r="H157" t="s">
        <v>2618</v>
      </c>
      <c r="I157" t="s">
        <v>2610</v>
      </c>
      <c r="J157" t="s">
        <v>2800</v>
      </c>
      <c r="K157" t="s">
        <v>2612</v>
      </c>
    </row>
    <row r="158" spans="1:11" x14ac:dyDescent="0.25">
      <c r="A158" t="s">
        <v>2801</v>
      </c>
      <c r="B158" s="18">
        <v>46247.621475567124</v>
      </c>
      <c r="C158" t="s">
        <v>98</v>
      </c>
      <c r="D158" t="s">
        <v>257</v>
      </c>
      <c r="E158" t="s">
        <v>209</v>
      </c>
      <c r="F158" t="s">
        <v>2607</v>
      </c>
      <c r="G158" t="s">
        <v>2608</v>
      </c>
      <c r="H158" t="s">
        <v>2609</v>
      </c>
      <c r="I158" t="s">
        <v>2610</v>
      </c>
      <c r="J158" t="s">
        <v>2802</v>
      </c>
      <c r="K158" t="s">
        <v>2612</v>
      </c>
    </row>
    <row r="159" spans="1:11" x14ac:dyDescent="0.25">
      <c r="A159" t="s">
        <v>2803</v>
      </c>
      <c r="B159" s="18">
        <v>46247.621475567124</v>
      </c>
      <c r="C159" t="s">
        <v>100</v>
      </c>
      <c r="D159" t="s">
        <v>257</v>
      </c>
      <c r="E159" t="s">
        <v>209</v>
      </c>
      <c r="F159" t="s">
        <v>2607</v>
      </c>
      <c r="G159" t="s">
        <v>2608</v>
      </c>
      <c r="H159" t="s">
        <v>2618</v>
      </c>
      <c r="I159" t="s">
        <v>2610</v>
      </c>
      <c r="J159" t="s">
        <v>2804</v>
      </c>
      <c r="K159" t="s">
        <v>2612</v>
      </c>
    </row>
    <row r="160" spans="1:11" x14ac:dyDescent="0.25">
      <c r="A160" t="s">
        <v>2805</v>
      </c>
      <c r="B160" s="18">
        <v>46247.621475567124</v>
      </c>
      <c r="C160" t="s">
        <v>102</v>
      </c>
      <c r="D160" t="s">
        <v>257</v>
      </c>
      <c r="E160" t="s">
        <v>209</v>
      </c>
      <c r="F160" t="s">
        <v>2607</v>
      </c>
      <c r="G160" t="s">
        <v>2608</v>
      </c>
      <c r="H160" t="s">
        <v>2609</v>
      </c>
      <c r="I160" t="s">
        <v>2610</v>
      </c>
      <c r="J160" t="s">
        <v>2806</v>
      </c>
      <c r="K160" t="s">
        <v>2612</v>
      </c>
    </row>
    <row r="161" spans="1:11" x14ac:dyDescent="0.25">
      <c r="A161" t="s">
        <v>2807</v>
      </c>
      <c r="B161" s="18">
        <v>46247.621475567124</v>
      </c>
      <c r="C161" t="s">
        <v>104</v>
      </c>
      <c r="D161" t="s">
        <v>257</v>
      </c>
      <c r="E161" t="s">
        <v>206</v>
      </c>
      <c r="F161" t="s">
        <v>2607</v>
      </c>
      <c r="G161" t="s">
        <v>2608</v>
      </c>
      <c r="H161" t="s">
        <v>2618</v>
      </c>
      <c r="I161" t="s">
        <v>2610</v>
      </c>
      <c r="J161" t="s">
        <v>2808</v>
      </c>
      <c r="K161" t="s">
        <v>2612</v>
      </c>
    </row>
    <row r="162" spans="1:11" x14ac:dyDescent="0.25">
      <c r="A162" t="s">
        <v>2809</v>
      </c>
      <c r="B162" s="18">
        <v>46247.621475567124</v>
      </c>
      <c r="C162" t="s">
        <v>105</v>
      </c>
      <c r="D162" t="s">
        <v>257</v>
      </c>
      <c r="E162" t="s">
        <v>206</v>
      </c>
      <c r="F162" t="s">
        <v>2607</v>
      </c>
      <c r="G162" t="s">
        <v>2608</v>
      </c>
      <c r="H162" t="s">
        <v>2609</v>
      </c>
      <c r="I162" t="s">
        <v>2610</v>
      </c>
      <c r="J162" t="s">
        <v>2810</v>
      </c>
      <c r="K162" t="s">
        <v>2612</v>
      </c>
    </row>
    <row r="163" spans="1:11" x14ac:dyDescent="0.25">
      <c r="A163" t="s">
        <v>2811</v>
      </c>
      <c r="B163" s="18">
        <v>46247.621475567124</v>
      </c>
      <c r="C163" t="s">
        <v>105</v>
      </c>
      <c r="D163" t="s">
        <v>257</v>
      </c>
      <c r="E163" t="s">
        <v>209</v>
      </c>
      <c r="F163" t="s">
        <v>2607</v>
      </c>
      <c r="G163" t="s">
        <v>2608</v>
      </c>
      <c r="H163" t="s">
        <v>2609</v>
      </c>
      <c r="I163" t="s">
        <v>2610</v>
      </c>
      <c r="J163" t="s">
        <v>2812</v>
      </c>
      <c r="K163" t="s">
        <v>2612</v>
      </c>
    </row>
    <row r="164" spans="1:11" x14ac:dyDescent="0.25">
      <c r="A164" t="s">
        <v>2813</v>
      </c>
      <c r="B164" s="18">
        <v>46247.62147557871</v>
      </c>
      <c r="C164" t="s">
        <v>106</v>
      </c>
      <c r="D164" t="s">
        <v>257</v>
      </c>
      <c r="E164" t="s">
        <v>206</v>
      </c>
      <c r="F164" t="s">
        <v>2614</v>
      </c>
      <c r="G164" t="s">
        <v>2649</v>
      </c>
      <c r="H164" t="s">
        <v>2618</v>
      </c>
      <c r="I164">
        <v>1</v>
      </c>
      <c r="J164" t="s">
        <v>2814</v>
      </c>
      <c r="K164" t="s">
        <v>2612</v>
      </c>
    </row>
    <row r="165" spans="1:11" x14ac:dyDescent="0.25">
      <c r="A165" t="s">
        <v>2815</v>
      </c>
      <c r="B165" s="18">
        <v>46247.62147557871</v>
      </c>
      <c r="C165" t="s">
        <v>107</v>
      </c>
      <c r="D165" t="s">
        <v>257</v>
      </c>
      <c r="E165" t="s">
        <v>209</v>
      </c>
      <c r="F165" t="s">
        <v>2607</v>
      </c>
      <c r="G165" t="s">
        <v>2608</v>
      </c>
      <c r="H165" t="s">
        <v>2609</v>
      </c>
      <c r="I165" t="s">
        <v>2610</v>
      </c>
      <c r="J165" t="s">
        <v>2816</v>
      </c>
      <c r="K165" t="s">
        <v>2612</v>
      </c>
    </row>
    <row r="166" spans="1:11" x14ac:dyDescent="0.25">
      <c r="A166" t="s">
        <v>2817</v>
      </c>
      <c r="B166" s="18">
        <v>46247.62147557871</v>
      </c>
      <c r="C166" t="s">
        <v>108</v>
      </c>
      <c r="D166" t="s">
        <v>257</v>
      </c>
      <c r="E166" t="s">
        <v>206</v>
      </c>
      <c r="F166" t="s">
        <v>2607</v>
      </c>
      <c r="G166" t="s">
        <v>2608</v>
      </c>
      <c r="H166" t="s">
        <v>2618</v>
      </c>
      <c r="I166" t="s">
        <v>2610</v>
      </c>
      <c r="J166" t="s">
        <v>2818</v>
      </c>
      <c r="K166" t="s">
        <v>2612</v>
      </c>
    </row>
    <row r="167" spans="1:11" x14ac:dyDescent="0.25">
      <c r="A167" t="s">
        <v>2819</v>
      </c>
      <c r="B167" s="18">
        <v>46247.62147557871</v>
      </c>
      <c r="C167" t="s">
        <v>112</v>
      </c>
      <c r="D167" t="s">
        <v>257</v>
      </c>
      <c r="E167" t="s">
        <v>209</v>
      </c>
      <c r="F167" t="s">
        <v>2607</v>
      </c>
      <c r="G167" t="s">
        <v>2608</v>
      </c>
      <c r="H167" t="s">
        <v>2618</v>
      </c>
      <c r="I167" t="s">
        <v>2610</v>
      </c>
      <c r="J167" t="s">
        <v>2820</v>
      </c>
      <c r="K167" t="s">
        <v>2612</v>
      </c>
    </row>
    <row r="168" spans="1:11" x14ac:dyDescent="0.25">
      <c r="A168" t="s">
        <v>2821</v>
      </c>
      <c r="B168" s="18">
        <v>46247.62147557871</v>
      </c>
      <c r="C168" t="s">
        <v>117</v>
      </c>
      <c r="D168" t="s">
        <v>294</v>
      </c>
      <c r="E168" t="s">
        <v>209</v>
      </c>
      <c r="F168" t="s">
        <v>2614</v>
      </c>
      <c r="G168" t="s">
        <v>2649</v>
      </c>
      <c r="H168" t="s">
        <v>2609</v>
      </c>
      <c r="I168">
        <v>1</v>
      </c>
      <c r="J168" t="s">
        <v>2822</v>
      </c>
      <c r="K168" t="s">
        <v>2612</v>
      </c>
    </row>
    <row r="169" spans="1:11" x14ac:dyDescent="0.25">
      <c r="A169" t="s">
        <v>2823</v>
      </c>
      <c r="B169" s="18">
        <v>46247.62147557871</v>
      </c>
      <c r="C169" t="s">
        <v>120</v>
      </c>
      <c r="D169" t="s">
        <v>294</v>
      </c>
      <c r="E169" t="s">
        <v>209</v>
      </c>
      <c r="F169" t="s">
        <v>2607</v>
      </c>
      <c r="G169" t="s">
        <v>2608</v>
      </c>
      <c r="H169" t="s">
        <v>2609</v>
      </c>
      <c r="I169" t="s">
        <v>2610</v>
      </c>
      <c r="J169" t="s">
        <v>2824</v>
      </c>
      <c r="K169" t="s">
        <v>2612</v>
      </c>
    </row>
    <row r="170" spans="1:11" x14ac:dyDescent="0.25">
      <c r="A170" t="s">
        <v>2825</v>
      </c>
      <c r="B170" s="18">
        <v>46247.62147557871</v>
      </c>
      <c r="C170" t="s">
        <v>121</v>
      </c>
      <c r="D170" t="s">
        <v>294</v>
      </c>
      <c r="E170" t="s">
        <v>206</v>
      </c>
      <c r="F170" t="s">
        <v>2607</v>
      </c>
      <c r="G170" t="s">
        <v>2608</v>
      </c>
      <c r="H170" t="s">
        <v>2618</v>
      </c>
      <c r="I170" t="s">
        <v>2610</v>
      </c>
      <c r="J170" t="s">
        <v>2826</v>
      </c>
      <c r="K170" t="s">
        <v>2612</v>
      </c>
    </row>
    <row r="171" spans="1:11" x14ac:dyDescent="0.25">
      <c r="A171" t="s">
        <v>2827</v>
      </c>
      <c r="B171" s="18">
        <v>46247.62147557871</v>
      </c>
      <c r="C171" t="s">
        <v>123</v>
      </c>
      <c r="D171" t="s">
        <v>294</v>
      </c>
      <c r="E171" t="s">
        <v>206</v>
      </c>
      <c r="F171" t="s">
        <v>2614</v>
      </c>
      <c r="G171" t="s">
        <v>2649</v>
      </c>
      <c r="H171" t="s">
        <v>2609</v>
      </c>
      <c r="I171">
        <v>1</v>
      </c>
      <c r="J171" t="s">
        <v>2828</v>
      </c>
      <c r="K171" t="s">
        <v>2612</v>
      </c>
    </row>
    <row r="172" spans="1:11" x14ac:dyDescent="0.25">
      <c r="A172" t="s">
        <v>2829</v>
      </c>
      <c r="B172" s="18">
        <v>46247.62147557871</v>
      </c>
      <c r="C172" t="s">
        <v>123</v>
      </c>
      <c r="D172" t="s">
        <v>294</v>
      </c>
      <c r="E172" t="s">
        <v>209</v>
      </c>
      <c r="F172" t="s">
        <v>2607</v>
      </c>
      <c r="G172" t="s">
        <v>2608</v>
      </c>
      <c r="H172" t="s">
        <v>2609</v>
      </c>
      <c r="I172" t="s">
        <v>2610</v>
      </c>
      <c r="J172" t="s">
        <v>2830</v>
      </c>
      <c r="K172" t="s">
        <v>2612</v>
      </c>
    </row>
    <row r="173" spans="1:11" x14ac:dyDescent="0.25">
      <c r="A173" t="s">
        <v>2831</v>
      </c>
      <c r="B173" s="18">
        <v>46247.62147557871</v>
      </c>
      <c r="C173" t="s">
        <v>124</v>
      </c>
      <c r="D173" t="s">
        <v>305</v>
      </c>
      <c r="E173" t="s">
        <v>206</v>
      </c>
      <c r="F173" t="s">
        <v>2607</v>
      </c>
      <c r="G173" t="s">
        <v>2608</v>
      </c>
      <c r="H173" t="s">
        <v>2609</v>
      </c>
      <c r="I173" t="s">
        <v>2610</v>
      </c>
      <c r="J173" t="s">
        <v>2832</v>
      </c>
      <c r="K173" t="s">
        <v>2612</v>
      </c>
    </row>
    <row r="174" spans="1:11" x14ac:dyDescent="0.25">
      <c r="A174" t="s">
        <v>2833</v>
      </c>
      <c r="B174" s="18">
        <v>46247.62147557871</v>
      </c>
      <c r="C174" t="s">
        <v>125</v>
      </c>
      <c r="D174" t="s">
        <v>305</v>
      </c>
      <c r="E174" t="s">
        <v>206</v>
      </c>
      <c r="F174" t="s">
        <v>2607</v>
      </c>
      <c r="G174" t="s">
        <v>2608</v>
      </c>
      <c r="H174" t="s">
        <v>2609</v>
      </c>
      <c r="I174" t="s">
        <v>2610</v>
      </c>
      <c r="J174" t="s">
        <v>2834</v>
      </c>
      <c r="K174" t="s">
        <v>2612</v>
      </c>
    </row>
    <row r="175" spans="1:11" x14ac:dyDescent="0.25">
      <c r="A175" t="s">
        <v>2835</v>
      </c>
      <c r="B175" s="18">
        <v>46247.63206038195</v>
      </c>
      <c r="C175" t="s">
        <v>102</v>
      </c>
      <c r="D175" t="s">
        <v>257</v>
      </c>
      <c r="E175" t="s">
        <v>206</v>
      </c>
      <c r="F175" t="s">
        <v>2614</v>
      </c>
      <c r="G175" t="s">
        <v>2649</v>
      </c>
      <c r="H175" t="s">
        <v>2609</v>
      </c>
      <c r="I175">
        <v>1</v>
      </c>
      <c r="J175" t="s">
        <v>2836</v>
      </c>
      <c r="K175" t="s">
        <v>2612</v>
      </c>
    </row>
    <row r="176" spans="1:11" x14ac:dyDescent="0.25">
      <c r="A176" t="s">
        <v>2837</v>
      </c>
      <c r="B176" s="18">
        <v>46247.63206038195</v>
      </c>
      <c r="C176" t="s">
        <v>109</v>
      </c>
      <c r="D176" t="s">
        <v>257</v>
      </c>
      <c r="E176" t="s">
        <v>206</v>
      </c>
      <c r="F176" t="s">
        <v>2607</v>
      </c>
      <c r="G176" t="s">
        <v>2608</v>
      </c>
      <c r="H176" t="s">
        <v>2609</v>
      </c>
      <c r="I176" t="s">
        <v>2610</v>
      </c>
      <c r="J176" t="s">
        <v>2838</v>
      </c>
      <c r="K176" t="s">
        <v>2612</v>
      </c>
    </row>
    <row r="177" spans="1:11" x14ac:dyDescent="0.25">
      <c r="A177" t="s">
        <v>2839</v>
      </c>
      <c r="B177" s="18">
        <v>46247.63206039352</v>
      </c>
      <c r="C177" t="s">
        <v>110</v>
      </c>
      <c r="D177" t="s">
        <v>257</v>
      </c>
      <c r="E177" t="s">
        <v>209</v>
      </c>
      <c r="F177" t="s">
        <v>2607</v>
      </c>
      <c r="G177" t="s">
        <v>2608</v>
      </c>
      <c r="H177" t="s">
        <v>2618</v>
      </c>
      <c r="I177" t="s">
        <v>2610</v>
      </c>
      <c r="J177" t="s">
        <v>2840</v>
      </c>
      <c r="K177" t="s">
        <v>2612</v>
      </c>
    </row>
    <row r="178" spans="1:11" x14ac:dyDescent="0.25">
      <c r="A178" t="s">
        <v>2841</v>
      </c>
      <c r="B178" s="18">
        <v>46247.63206039352</v>
      </c>
      <c r="C178" t="s">
        <v>115</v>
      </c>
      <c r="D178" t="s">
        <v>257</v>
      </c>
      <c r="E178" t="s">
        <v>206</v>
      </c>
      <c r="F178" t="s">
        <v>2607</v>
      </c>
      <c r="G178" t="s">
        <v>2608</v>
      </c>
      <c r="H178" t="s">
        <v>2618</v>
      </c>
      <c r="I178" t="s">
        <v>2610</v>
      </c>
      <c r="J178" t="s">
        <v>2842</v>
      </c>
      <c r="K178" t="s">
        <v>2612</v>
      </c>
    </row>
    <row r="179" spans="1:11" x14ac:dyDescent="0.25">
      <c r="A179" t="s">
        <v>2843</v>
      </c>
      <c r="B179" s="18">
        <v>46247.63206039352</v>
      </c>
      <c r="C179" t="s">
        <v>120</v>
      </c>
      <c r="D179" t="s">
        <v>294</v>
      </c>
      <c r="E179" t="s">
        <v>206</v>
      </c>
      <c r="F179" t="s">
        <v>2614</v>
      </c>
      <c r="G179" t="s">
        <v>2649</v>
      </c>
      <c r="H179" t="s">
        <v>2609</v>
      </c>
      <c r="I179">
        <v>1</v>
      </c>
      <c r="J179" t="s">
        <v>2844</v>
      </c>
      <c r="K179" t="s">
        <v>2612</v>
      </c>
    </row>
    <row r="180" spans="1:11" x14ac:dyDescent="0.25">
      <c r="A180" t="s">
        <v>2845</v>
      </c>
      <c r="B180" s="18">
        <v>46247.63206039352</v>
      </c>
      <c r="C180" t="s">
        <v>125</v>
      </c>
      <c r="D180" t="s">
        <v>305</v>
      </c>
      <c r="E180" t="s">
        <v>206</v>
      </c>
      <c r="F180" t="s">
        <v>2614</v>
      </c>
      <c r="G180" t="s">
        <v>2649</v>
      </c>
      <c r="H180" t="s">
        <v>2609</v>
      </c>
      <c r="I180">
        <v>1</v>
      </c>
      <c r="J180" t="s">
        <v>2846</v>
      </c>
      <c r="K180" t="s">
        <v>2612</v>
      </c>
    </row>
    <row r="181" spans="1:11" x14ac:dyDescent="0.25">
      <c r="A181" t="s">
        <v>2847</v>
      </c>
      <c r="B181" s="18">
        <v>46258.43789158565</v>
      </c>
      <c r="C181" t="s">
        <v>105</v>
      </c>
      <c r="D181" t="s">
        <v>257</v>
      </c>
      <c r="E181" t="s">
        <v>206</v>
      </c>
      <c r="F181" t="s">
        <v>2607</v>
      </c>
      <c r="G181" t="s">
        <v>2608</v>
      </c>
      <c r="H181" t="s">
        <v>2618</v>
      </c>
      <c r="I181" t="s">
        <v>2610</v>
      </c>
      <c r="J181" t="s">
        <v>2848</v>
      </c>
      <c r="K181" t="s">
        <v>2612</v>
      </c>
    </row>
    <row r="182" spans="1:11" x14ac:dyDescent="0.25">
      <c r="A182" t="s">
        <v>2849</v>
      </c>
      <c r="B182" s="18">
        <v>46258.43789158565</v>
      </c>
      <c r="C182" t="s">
        <v>105</v>
      </c>
      <c r="D182" t="s">
        <v>257</v>
      </c>
      <c r="E182" t="s">
        <v>209</v>
      </c>
      <c r="F182" t="s">
        <v>2607</v>
      </c>
      <c r="G182" t="s">
        <v>2608</v>
      </c>
      <c r="H182" t="s">
        <v>2618</v>
      </c>
      <c r="I182" t="s">
        <v>2610</v>
      </c>
      <c r="J182" t="s">
        <v>2850</v>
      </c>
      <c r="K182" t="s">
        <v>2612</v>
      </c>
    </row>
    <row r="183" spans="1:11" x14ac:dyDescent="0.25">
      <c r="A183" t="s">
        <v>2851</v>
      </c>
      <c r="B183" s="18">
        <v>46258.43789158565</v>
      </c>
      <c r="C183" t="s">
        <v>109</v>
      </c>
      <c r="D183" t="s">
        <v>257</v>
      </c>
      <c r="E183" t="s">
        <v>206</v>
      </c>
      <c r="F183" t="s">
        <v>2607</v>
      </c>
      <c r="G183" t="s">
        <v>2608</v>
      </c>
      <c r="H183" t="s">
        <v>2618</v>
      </c>
      <c r="I183" t="s">
        <v>2610</v>
      </c>
      <c r="J183" t="s">
        <v>2852</v>
      </c>
      <c r="K183" t="s">
        <v>2612</v>
      </c>
    </row>
    <row r="184" spans="1:11" x14ac:dyDescent="0.25">
      <c r="A184" t="s">
        <v>2853</v>
      </c>
      <c r="B184" s="18">
        <v>46258.43789158565</v>
      </c>
      <c r="C184" t="s">
        <v>109</v>
      </c>
      <c r="D184" t="s">
        <v>257</v>
      </c>
      <c r="E184" t="s">
        <v>206</v>
      </c>
      <c r="F184" t="s">
        <v>2614</v>
      </c>
      <c r="G184" t="s">
        <v>2649</v>
      </c>
      <c r="H184" t="s">
        <v>2618</v>
      </c>
      <c r="I184">
        <v>1</v>
      </c>
      <c r="J184" t="s">
        <v>2854</v>
      </c>
      <c r="K184" t="s">
        <v>2612</v>
      </c>
    </row>
    <row r="185" spans="1:11" x14ac:dyDescent="0.25">
      <c r="A185" t="s">
        <v>2855</v>
      </c>
      <c r="B185" s="18">
        <v>46258.43789158565</v>
      </c>
      <c r="C185" t="s">
        <v>109</v>
      </c>
      <c r="D185" t="s">
        <v>257</v>
      </c>
      <c r="E185" t="s">
        <v>209</v>
      </c>
      <c r="F185" t="s">
        <v>2607</v>
      </c>
      <c r="G185" t="s">
        <v>2608</v>
      </c>
      <c r="H185" t="s">
        <v>2618</v>
      </c>
      <c r="I185" t="s">
        <v>2610</v>
      </c>
      <c r="J185" t="s">
        <v>2856</v>
      </c>
      <c r="K185" t="s">
        <v>2612</v>
      </c>
    </row>
    <row r="186" spans="1:11" x14ac:dyDescent="0.25">
      <c r="A186" t="s">
        <v>2857</v>
      </c>
      <c r="B186" s="18">
        <v>46258.43789158565</v>
      </c>
      <c r="C186" t="s">
        <v>115</v>
      </c>
      <c r="D186" t="s">
        <v>257</v>
      </c>
      <c r="E186" t="s">
        <v>209</v>
      </c>
      <c r="F186" t="s">
        <v>2614</v>
      </c>
      <c r="G186" t="s">
        <v>2649</v>
      </c>
      <c r="H186" t="s">
        <v>2609</v>
      </c>
      <c r="I186">
        <v>1</v>
      </c>
      <c r="J186" t="s">
        <v>2858</v>
      </c>
      <c r="K186" t="s">
        <v>2612</v>
      </c>
    </row>
    <row r="187" spans="1:11" x14ac:dyDescent="0.25">
      <c r="A187" t="s">
        <v>2859</v>
      </c>
      <c r="B187" s="18">
        <v>46258.43789159722</v>
      </c>
      <c r="C187" t="s">
        <v>118</v>
      </c>
      <c r="D187" t="s">
        <v>294</v>
      </c>
      <c r="E187" t="s">
        <v>209</v>
      </c>
      <c r="F187" t="s">
        <v>2614</v>
      </c>
      <c r="G187" t="s">
        <v>2649</v>
      </c>
      <c r="H187" t="s">
        <v>2618</v>
      </c>
      <c r="I187">
        <v>1</v>
      </c>
      <c r="J187" t="s">
        <v>2860</v>
      </c>
      <c r="K187" t="s">
        <v>2612</v>
      </c>
    </row>
    <row r="188" spans="1:11" x14ac:dyDescent="0.25">
      <c r="A188" t="s">
        <v>2861</v>
      </c>
      <c r="B188" s="18">
        <v>46258.43789159722</v>
      </c>
      <c r="C188" t="s">
        <v>121</v>
      </c>
      <c r="D188" t="s">
        <v>294</v>
      </c>
      <c r="E188" t="s">
        <v>206</v>
      </c>
      <c r="F188" t="s">
        <v>2607</v>
      </c>
      <c r="G188" t="s">
        <v>2608</v>
      </c>
      <c r="H188" t="s">
        <v>2609</v>
      </c>
      <c r="I188" t="s">
        <v>2610</v>
      </c>
      <c r="J188" t="s">
        <v>2862</v>
      </c>
      <c r="K188" t="s">
        <v>2612</v>
      </c>
    </row>
    <row r="189" spans="1:11" x14ac:dyDescent="0.25">
      <c r="A189" t="s">
        <v>2863</v>
      </c>
      <c r="B189" s="18">
        <v>46258.43789159722</v>
      </c>
      <c r="C189" t="s">
        <v>125</v>
      </c>
      <c r="D189" t="s">
        <v>305</v>
      </c>
      <c r="E189" t="s">
        <v>209</v>
      </c>
      <c r="F189" t="s">
        <v>2607</v>
      </c>
      <c r="G189" t="s">
        <v>2608</v>
      </c>
      <c r="H189" t="s">
        <v>2609</v>
      </c>
      <c r="I189" t="s">
        <v>2610</v>
      </c>
      <c r="J189" t="s">
        <v>2864</v>
      </c>
      <c r="K189" t="s">
        <v>2612</v>
      </c>
    </row>
    <row r="190" spans="1:11" x14ac:dyDescent="0.25">
      <c r="A190" t="s">
        <v>2865</v>
      </c>
      <c r="B190" s="18">
        <v>46258.44847613426</v>
      </c>
      <c r="C190" t="s">
        <v>102</v>
      </c>
      <c r="D190" t="s">
        <v>257</v>
      </c>
      <c r="E190" t="s">
        <v>206</v>
      </c>
      <c r="F190" t="s">
        <v>2607</v>
      </c>
      <c r="G190" t="s">
        <v>2608</v>
      </c>
      <c r="H190" t="s">
        <v>2618</v>
      </c>
      <c r="I190" t="s">
        <v>2610</v>
      </c>
      <c r="J190" t="s">
        <v>2866</v>
      </c>
      <c r="K190" t="s">
        <v>2612</v>
      </c>
    </row>
    <row r="191" spans="1:11" x14ac:dyDescent="0.25">
      <c r="A191" t="s">
        <v>2867</v>
      </c>
      <c r="B191" s="18">
        <v>46258.44847614583</v>
      </c>
      <c r="C191" t="s">
        <v>109</v>
      </c>
      <c r="D191" t="s">
        <v>257</v>
      </c>
      <c r="E191" t="s">
        <v>206</v>
      </c>
      <c r="F191" t="s">
        <v>2607</v>
      </c>
      <c r="G191" t="s">
        <v>2608</v>
      </c>
      <c r="H191" t="s">
        <v>2609</v>
      </c>
      <c r="I191" t="s">
        <v>2610</v>
      </c>
      <c r="J191" t="s">
        <v>2868</v>
      </c>
      <c r="K191" t="s">
        <v>2612</v>
      </c>
    </row>
    <row r="192" spans="1:11" x14ac:dyDescent="0.25">
      <c r="A192" t="s">
        <v>2869</v>
      </c>
      <c r="B192" s="18">
        <v>46258.44847614583</v>
      </c>
      <c r="C192" t="s">
        <v>111</v>
      </c>
      <c r="D192" t="s">
        <v>257</v>
      </c>
      <c r="E192" t="s">
        <v>206</v>
      </c>
      <c r="F192" t="s">
        <v>2607</v>
      </c>
      <c r="G192" t="s">
        <v>2608</v>
      </c>
      <c r="H192" t="s">
        <v>2618</v>
      </c>
      <c r="I192" t="s">
        <v>2610</v>
      </c>
      <c r="J192" t="s">
        <v>2870</v>
      </c>
      <c r="K192" t="s">
        <v>2612</v>
      </c>
    </row>
    <row r="193" spans="1:11" x14ac:dyDescent="0.25">
      <c r="A193" t="s">
        <v>2871</v>
      </c>
      <c r="B193" s="18">
        <v>46258.44847614583</v>
      </c>
      <c r="C193" t="s">
        <v>112</v>
      </c>
      <c r="D193" t="s">
        <v>257</v>
      </c>
      <c r="E193" t="s">
        <v>206</v>
      </c>
      <c r="F193" t="s">
        <v>2607</v>
      </c>
      <c r="G193" t="s">
        <v>2608</v>
      </c>
      <c r="H193" t="s">
        <v>2609</v>
      </c>
      <c r="I193" t="s">
        <v>2610</v>
      </c>
      <c r="J193" t="s">
        <v>2872</v>
      </c>
      <c r="K193" t="s">
        <v>2612</v>
      </c>
    </row>
    <row r="194" spans="1:11" x14ac:dyDescent="0.25">
      <c r="A194" t="s">
        <v>2873</v>
      </c>
      <c r="B194" s="18">
        <v>46258.58572740741</v>
      </c>
      <c r="C194" t="s">
        <v>92</v>
      </c>
      <c r="D194" t="s">
        <v>288</v>
      </c>
      <c r="E194" t="s">
        <v>206</v>
      </c>
      <c r="F194" t="s">
        <v>2607</v>
      </c>
      <c r="G194" t="s">
        <v>2608</v>
      </c>
      <c r="H194" t="s">
        <v>2618</v>
      </c>
      <c r="I194" t="s">
        <v>2610</v>
      </c>
      <c r="J194" t="s">
        <v>2874</v>
      </c>
      <c r="K194" t="s">
        <v>2612</v>
      </c>
    </row>
    <row r="195" spans="1:11" x14ac:dyDescent="0.25">
      <c r="A195" t="s">
        <v>2875</v>
      </c>
      <c r="B195" s="18">
        <v>46258.58572740741</v>
      </c>
      <c r="C195" t="s">
        <v>92</v>
      </c>
      <c r="D195" t="s">
        <v>288</v>
      </c>
      <c r="E195" t="s">
        <v>209</v>
      </c>
      <c r="F195" t="s">
        <v>2607</v>
      </c>
      <c r="G195" t="s">
        <v>2608</v>
      </c>
      <c r="H195" t="s">
        <v>2618</v>
      </c>
      <c r="I195" t="s">
        <v>2610</v>
      </c>
      <c r="J195" t="s">
        <v>2876</v>
      </c>
      <c r="K195" t="s">
        <v>2612</v>
      </c>
    </row>
    <row r="196" spans="1:11" x14ac:dyDescent="0.25">
      <c r="A196" t="s">
        <v>2877</v>
      </c>
      <c r="B196" s="18">
        <v>46258.58572741898</v>
      </c>
      <c r="C196" t="s">
        <v>106</v>
      </c>
      <c r="D196" t="s">
        <v>257</v>
      </c>
      <c r="E196" t="s">
        <v>206</v>
      </c>
      <c r="F196" t="s">
        <v>2607</v>
      </c>
      <c r="G196" t="s">
        <v>2608</v>
      </c>
      <c r="H196" t="s">
        <v>2609</v>
      </c>
      <c r="I196" t="s">
        <v>2610</v>
      </c>
      <c r="J196" t="s">
        <v>2878</v>
      </c>
      <c r="K196" t="s">
        <v>2612</v>
      </c>
    </row>
    <row r="197" spans="1:11" x14ac:dyDescent="0.25">
      <c r="A197" t="s">
        <v>2879</v>
      </c>
      <c r="B197" s="18">
        <v>46258.58572741898</v>
      </c>
      <c r="C197" t="s">
        <v>110</v>
      </c>
      <c r="D197" t="s">
        <v>257</v>
      </c>
      <c r="E197" t="s">
        <v>206</v>
      </c>
      <c r="F197" t="s">
        <v>2607</v>
      </c>
      <c r="G197" t="s">
        <v>2608</v>
      </c>
      <c r="H197" t="s">
        <v>2609</v>
      </c>
      <c r="I197" t="s">
        <v>2610</v>
      </c>
      <c r="J197" t="s">
        <v>2880</v>
      </c>
      <c r="K197" t="s">
        <v>2612</v>
      </c>
    </row>
    <row r="198" spans="1:11" x14ac:dyDescent="0.25">
      <c r="A198" t="s">
        <v>2881</v>
      </c>
      <c r="B198" s="18">
        <v>46258.58572741898</v>
      </c>
      <c r="C198" t="s">
        <v>113</v>
      </c>
      <c r="D198" t="s">
        <v>257</v>
      </c>
      <c r="E198" t="s">
        <v>206</v>
      </c>
      <c r="F198" t="s">
        <v>2607</v>
      </c>
      <c r="G198" t="s">
        <v>2608</v>
      </c>
      <c r="H198" t="s">
        <v>2609</v>
      </c>
      <c r="I198" t="s">
        <v>2610</v>
      </c>
      <c r="J198" t="s">
        <v>2882</v>
      </c>
      <c r="K198" t="s">
        <v>2612</v>
      </c>
    </row>
    <row r="199" spans="1:11" x14ac:dyDescent="0.25">
      <c r="A199" t="s">
        <v>2883</v>
      </c>
      <c r="B199" s="18">
        <v>46258.58572741898</v>
      </c>
      <c r="C199" t="s">
        <v>115</v>
      </c>
      <c r="D199" t="s">
        <v>257</v>
      </c>
      <c r="E199" t="s">
        <v>206</v>
      </c>
      <c r="F199" t="s">
        <v>2607</v>
      </c>
      <c r="G199" t="s">
        <v>2608</v>
      </c>
      <c r="H199" t="s">
        <v>2609</v>
      </c>
      <c r="I199" t="s">
        <v>2610</v>
      </c>
      <c r="J199" t="s">
        <v>2884</v>
      </c>
      <c r="K199" t="s">
        <v>2612</v>
      </c>
    </row>
    <row r="200" spans="1:11" x14ac:dyDescent="0.25">
      <c r="A200" t="s">
        <v>2885</v>
      </c>
      <c r="B200" s="18">
        <v>46258.58572741898</v>
      </c>
      <c r="C200" t="s">
        <v>115</v>
      </c>
      <c r="D200" t="s">
        <v>257</v>
      </c>
      <c r="E200" t="s">
        <v>206</v>
      </c>
      <c r="F200" t="s">
        <v>2614</v>
      </c>
      <c r="G200" t="s">
        <v>2649</v>
      </c>
      <c r="H200" t="s">
        <v>2609</v>
      </c>
      <c r="I200">
        <v>1</v>
      </c>
      <c r="J200" t="s">
        <v>2886</v>
      </c>
      <c r="K200" t="s">
        <v>2612</v>
      </c>
    </row>
    <row r="201" spans="1:11" x14ac:dyDescent="0.25">
      <c r="A201" t="s">
        <v>2887</v>
      </c>
      <c r="B201" s="18">
        <v>46258.58572741898</v>
      </c>
      <c r="C201" t="s">
        <v>116</v>
      </c>
      <c r="D201" t="s">
        <v>294</v>
      </c>
      <c r="E201" t="s">
        <v>206</v>
      </c>
      <c r="F201" t="s">
        <v>2607</v>
      </c>
      <c r="G201" t="s">
        <v>2608</v>
      </c>
      <c r="H201" t="s">
        <v>2609</v>
      </c>
      <c r="I201" t="s">
        <v>2610</v>
      </c>
      <c r="J201" t="s">
        <v>2888</v>
      </c>
      <c r="K201" t="s">
        <v>2612</v>
      </c>
    </row>
    <row r="202" spans="1:11" x14ac:dyDescent="0.25">
      <c r="A202" t="s">
        <v>2889</v>
      </c>
      <c r="B202" s="18">
        <v>46258.58572741898</v>
      </c>
      <c r="C202" t="s">
        <v>117</v>
      </c>
      <c r="D202" t="s">
        <v>294</v>
      </c>
      <c r="E202" t="s">
        <v>206</v>
      </c>
      <c r="F202" t="s">
        <v>2607</v>
      </c>
      <c r="G202" t="s">
        <v>2608</v>
      </c>
      <c r="H202" t="s">
        <v>2609</v>
      </c>
      <c r="I202" t="s">
        <v>2610</v>
      </c>
      <c r="J202" t="s">
        <v>2890</v>
      </c>
      <c r="K202" t="s">
        <v>2612</v>
      </c>
    </row>
    <row r="203" spans="1:11" x14ac:dyDescent="0.25">
      <c r="A203" t="s">
        <v>2891</v>
      </c>
      <c r="B203" s="18">
        <v>46258.58572741898</v>
      </c>
      <c r="C203" t="s">
        <v>119</v>
      </c>
      <c r="D203" t="s">
        <v>294</v>
      </c>
      <c r="E203" t="s">
        <v>209</v>
      </c>
      <c r="F203" t="s">
        <v>2607</v>
      </c>
      <c r="G203" t="s">
        <v>2608</v>
      </c>
      <c r="H203" t="s">
        <v>2609</v>
      </c>
      <c r="I203" t="s">
        <v>2610</v>
      </c>
      <c r="J203" t="s">
        <v>2892</v>
      </c>
      <c r="K203" t="s">
        <v>2612</v>
      </c>
    </row>
    <row r="204" spans="1:11" x14ac:dyDescent="0.25">
      <c r="A204" t="s">
        <v>2893</v>
      </c>
      <c r="B204" s="18">
        <v>46258.58572741898</v>
      </c>
      <c r="C204" t="s">
        <v>121</v>
      </c>
      <c r="D204" t="s">
        <v>294</v>
      </c>
      <c r="E204" t="s">
        <v>206</v>
      </c>
      <c r="F204" t="s">
        <v>2614</v>
      </c>
      <c r="G204" t="s">
        <v>2649</v>
      </c>
      <c r="H204" t="s">
        <v>2618</v>
      </c>
      <c r="I204">
        <v>1</v>
      </c>
      <c r="J204" t="s">
        <v>2894</v>
      </c>
      <c r="K204" t="s">
        <v>2612</v>
      </c>
    </row>
    <row r="205" spans="1:11" x14ac:dyDescent="0.25">
      <c r="A205" t="s">
        <v>2895</v>
      </c>
      <c r="B205" s="18">
        <v>46258.58572741898</v>
      </c>
      <c r="C205" t="s">
        <v>122</v>
      </c>
      <c r="D205" t="s">
        <v>294</v>
      </c>
      <c r="E205" t="s">
        <v>209</v>
      </c>
      <c r="F205" t="s">
        <v>2607</v>
      </c>
      <c r="G205" t="s">
        <v>2608</v>
      </c>
      <c r="H205" t="s">
        <v>2609</v>
      </c>
      <c r="I205" t="s">
        <v>2610</v>
      </c>
      <c r="J205" t="s">
        <v>2896</v>
      </c>
      <c r="K205" t="s">
        <v>2612</v>
      </c>
    </row>
    <row r="206" spans="1:11" x14ac:dyDescent="0.25">
      <c r="A206" t="s">
        <v>2897</v>
      </c>
      <c r="B206" s="18">
        <v>46258.58572741898</v>
      </c>
      <c r="C206" t="s">
        <v>125</v>
      </c>
      <c r="D206" t="s">
        <v>305</v>
      </c>
      <c r="E206" t="s">
        <v>209</v>
      </c>
      <c r="F206" t="s">
        <v>2607</v>
      </c>
      <c r="G206" t="s">
        <v>2608</v>
      </c>
      <c r="H206" t="s">
        <v>2618</v>
      </c>
      <c r="I206" t="s">
        <v>2610</v>
      </c>
      <c r="J206" t="s">
        <v>2898</v>
      </c>
      <c r="K206" t="s">
        <v>2612</v>
      </c>
    </row>
    <row r="207" spans="1:11" x14ac:dyDescent="0.25">
      <c r="A207" t="s">
        <v>2899</v>
      </c>
      <c r="B207" s="18">
        <v>46258.59631090278</v>
      </c>
      <c r="C207" t="s">
        <v>92</v>
      </c>
      <c r="D207" t="s">
        <v>288</v>
      </c>
      <c r="E207" t="s">
        <v>206</v>
      </c>
      <c r="F207" t="s">
        <v>2614</v>
      </c>
      <c r="G207" t="s">
        <v>2649</v>
      </c>
      <c r="H207" t="s">
        <v>2618</v>
      </c>
      <c r="I207">
        <v>1</v>
      </c>
      <c r="J207" t="s">
        <v>2900</v>
      </c>
      <c r="K207" t="s">
        <v>2612</v>
      </c>
    </row>
    <row r="208" spans="1:11" x14ac:dyDescent="0.25">
      <c r="A208" t="s">
        <v>2901</v>
      </c>
      <c r="B208" s="18">
        <v>46258.59631091435</v>
      </c>
      <c r="C208" t="s">
        <v>92</v>
      </c>
      <c r="D208" t="s">
        <v>288</v>
      </c>
      <c r="E208" t="s">
        <v>209</v>
      </c>
      <c r="F208" t="s">
        <v>2614</v>
      </c>
      <c r="G208" t="s">
        <v>2649</v>
      </c>
      <c r="H208" t="s">
        <v>2618</v>
      </c>
      <c r="I208">
        <v>1</v>
      </c>
      <c r="J208" t="s">
        <v>2902</v>
      </c>
      <c r="K208" t="s">
        <v>2612</v>
      </c>
    </row>
    <row r="209" spans="1:11" x14ac:dyDescent="0.25">
      <c r="A209" t="s">
        <v>2903</v>
      </c>
      <c r="B209" s="18">
        <v>46258.59631091435</v>
      </c>
      <c r="C209" t="s">
        <v>95</v>
      </c>
      <c r="D209" t="s">
        <v>288</v>
      </c>
      <c r="E209" t="s">
        <v>206</v>
      </c>
      <c r="F209" t="s">
        <v>2607</v>
      </c>
      <c r="G209" t="s">
        <v>2608</v>
      </c>
      <c r="H209" t="s">
        <v>2618</v>
      </c>
      <c r="I209" t="s">
        <v>2610</v>
      </c>
      <c r="J209" t="s">
        <v>2904</v>
      </c>
      <c r="K209" t="s">
        <v>2612</v>
      </c>
    </row>
    <row r="210" spans="1:11" x14ac:dyDescent="0.25">
      <c r="A210" t="s">
        <v>2905</v>
      </c>
      <c r="B210" s="18">
        <v>46258.59631091435</v>
      </c>
      <c r="C210" t="s">
        <v>115</v>
      </c>
      <c r="D210" t="s">
        <v>257</v>
      </c>
      <c r="E210" t="s">
        <v>209</v>
      </c>
      <c r="F210" t="s">
        <v>2607</v>
      </c>
      <c r="G210" t="s">
        <v>2608</v>
      </c>
      <c r="H210" t="s">
        <v>2618</v>
      </c>
      <c r="I210" t="s">
        <v>2610</v>
      </c>
      <c r="J210" t="s">
        <v>2906</v>
      </c>
      <c r="K210" t="s">
        <v>2612</v>
      </c>
    </row>
    <row r="211" spans="1:11" x14ac:dyDescent="0.25">
      <c r="A211" t="s">
        <v>2907</v>
      </c>
      <c r="B211" s="18">
        <v>46258.59631091435</v>
      </c>
      <c r="C211" t="s">
        <v>125</v>
      </c>
      <c r="D211" t="s">
        <v>305</v>
      </c>
      <c r="E211" t="s">
        <v>209</v>
      </c>
      <c r="F211" t="s">
        <v>2607</v>
      </c>
      <c r="G211" t="s">
        <v>2608</v>
      </c>
      <c r="H211" t="s">
        <v>2609</v>
      </c>
      <c r="I211" t="s">
        <v>2610</v>
      </c>
      <c r="J211" t="s">
        <v>2908</v>
      </c>
      <c r="K211" t="s">
        <v>2612</v>
      </c>
    </row>
    <row r="212" spans="1:11" x14ac:dyDescent="0.25">
      <c r="A212" t="s">
        <v>2909</v>
      </c>
      <c r="B212" s="18">
        <v>46258.60691530093</v>
      </c>
      <c r="C212" t="s">
        <v>95</v>
      </c>
      <c r="D212" t="s">
        <v>288</v>
      </c>
      <c r="E212" t="s">
        <v>206</v>
      </c>
      <c r="F212" t="s">
        <v>2607</v>
      </c>
      <c r="G212" t="s">
        <v>2608</v>
      </c>
      <c r="H212" t="s">
        <v>2618</v>
      </c>
      <c r="I212" t="s">
        <v>2610</v>
      </c>
      <c r="J212" t="s">
        <v>2910</v>
      </c>
      <c r="K212" t="s">
        <v>2612</v>
      </c>
    </row>
    <row r="213" spans="1:11" x14ac:dyDescent="0.25">
      <c r="A213" t="s">
        <v>2911</v>
      </c>
      <c r="B213" s="18">
        <v>46258.60691530093</v>
      </c>
      <c r="C213" t="s">
        <v>96</v>
      </c>
      <c r="D213" t="s">
        <v>288</v>
      </c>
      <c r="E213" t="s">
        <v>209</v>
      </c>
      <c r="F213" t="s">
        <v>2607</v>
      </c>
      <c r="G213" t="s">
        <v>2608</v>
      </c>
      <c r="H213" t="s">
        <v>2609</v>
      </c>
      <c r="I213" t="s">
        <v>2610</v>
      </c>
      <c r="J213" t="s">
        <v>2912</v>
      </c>
      <c r="K213" t="s">
        <v>2612</v>
      </c>
    </row>
    <row r="214" spans="1:11" x14ac:dyDescent="0.25">
      <c r="A214" t="s">
        <v>2913</v>
      </c>
      <c r="B214" s="18">
        <v>46258.60691530093</v>
      </c>
      <c r="C214" t="s">
        <v>115</v>
      </c>
      <c r="D214" t="s">
        <v>257</v>
      </c>
      <c r="E214" t="s">
        <v>209</v>
      </c>
      <c r="F214" t="s">
        <v>2614</v>
      </c>
      <c r="G214" t="s">
        <v>2649</v>
      </c>
      <c r="H214" t="s">
        <v>2618</v>
      </c>
      <c r="I214">
        <v>1</v>
      </c>
      <c r="J214" t="s">
        <v>2914</v>
      </c>
      <c r="K214" t="s">
        <v>2612</v>
      </c>
    </row>
    <row r="215" spans="1:11" x14ac:dyDescent="0.25">
      <c r="A215" t="s">
        <v>2915</v>
      </c>
      <c r="B215" s="18">
        <v>46258.60691530093</v>
      </c>
      <c r="C215" t="s">
        <v>118</v>
      </c>
      <c r="D215" t="s">
        <v>294</v>
      </c>
      <c r="E215" t="s">
        <v>206</v>
      </c>
      <c r="F215" t="s">
        <v>2607</v>
      </c>
      <c r="G215" t="s">
        <v>2608</v>
      </c>
      <c r="H215" t="s">
        <v>2609</v>
      </c>
      <c r="I215" t="s">
        <v>2610</v>
      </c>
      <c r="J215" t="s">
        <v>2916</v>
      </c>
      <c r="K215" t="s">
        <v>2612</v>
      </c>
    </row>
    <row r="216" spans="1:11" x14ac:dyDescent="0.25">
      <c r="A216" t="s">
        <v>2917</v>
      </c>
      <c r="B216" s="18">
        <v>46258.60691530093</v>
      </c>
      <c r="C216" t="s">
        <v>121</v>
      </c>
      <c r="D216" t="s">
        <v>294</v>
      </c>
      <c r="E216" t="s">
        <v>206</v>
      </c>
      <c r="F216" t="s">
        <v>2607</v>
      </c>
      <c r="G216" t="s">
        <v>2608</v>
      </c>
      <c r="H216" t="s">
        <v>2609</v>
      </c>
      <c r="I216" t="s">
        <v>2610</v>
      </c>
      <c r="J216" t="s">
        <v>2918</v>
      </c>
      <c r="K216" t="s">
        <v>2612</v>
      </c>
    </row>
    <row r="217" spans="1:11" x14ac:dyDescent="0.25">
      <c r="A217" t="s">
        <v>2919</v>
      </c>
      <c r="B217" s="18">
        <v>46258.60691530093</v>
      </c>
      <c r="C217" t="s">
        <v>121</v>
      </c>
      <c r="D217" t="s">
        <v>294</v>
      </c>
      <c r="E217" t="s">
        <v>206</v>
      </c>
      <c r="F217" t="s">
        <v>2614</v>
      </c>
      <c r="G217" t="s">
        <v>2649</v>
      </c>
      <c r="H217" t="s">
        <v>2609</v>
      </c>
      <c r="I217">
        <v>1</v>
      </c>
      <c r="J217" t="s">
        <v>2920</v>
      </c>
      <c r="K217" t="s">
        <v>2612</v>
      </c>
    </row>
    <row r="218" spans="1:11" x14ac:dyDescent="0.25">
      <c r="A218" t="s">
        <v>2921</v>
      </c>
      <c r="B218" s="18">
        <v>46258.60691530093</v>
      </c>
      <c r="C218" t="s">
        <v>121</v>
      </c>
      <c r="D218" t="s">
        <v>294</v>
      </c>
      <c r="E218" t="s">
        <v>209</v>
      </c>
      <c r="F218" t="s">
        <v>2607</v>
      </c>
      <c r="G218" t="s">
        <v>2608</v>
      </c>
      <c r="H218" t="s">
        <v>2609</v>
      </c>
      <c r="I218" t="s">
        <v>2610</v>
      </c>
      <c r="J218" t="s">
        <v>2922</v>
      </c>
      <c r="K218" t="s">
        <v>2612</v>
      </c>
    </row>
    <row r="219" spans="1:11" x14ac:dyDescent="0.25">
      <c r="A219" t="s">
        <v>2923</v>
      </c>
      <c r="B219" s="18">
        <v>46258.60691530093</v>
      </c>
      <c r="C219" t="s">
        <v>122</v>
      </c>
      <c r="D219" t="s">
        <v>294</v>
      </c>
      <c r="E219" t="s">
        <v>209</v>
      </c>
      <c r="F219" t="s">
        <v>2614</v>
      </c>
      <c r="G219" t="s">
        <v>2649</v>
      </c>
      <c r="H219" t="s">
        <v>2609</v>
      </c>
      <c r="I219">
        <v>1</v>
      </c>
      <c r="J219" t="s">
        <v>2924</v>
      </c>
      <c r="K219" t="s">
        <v>2612</v>
      </c>
    </row>
    <row r="220" spans="1:11" x14ac:dyDescent="0.25">
      <c r="A220" t="s">
        <v>2925</v>
      </c>
      <c r="B220" s="18">
        <v>46258.60691530093</v>
      </c>
      <c r="C220" t="s">
        <v>123</v>
      </c>
      <c r="D220" t="s">
        <v>294</v>
      </c>
      <c r="E220" t="s">
        <v>206</v>
      </c>
      <c r="F220" t="s">
        <v>2607</v>
      </c>
      <c r="G220" t="s">
        <v>2608</v>
      </c>
      <c r="H220" t="s">
        <v>2609</v>
      </c>
      <c r="I220" t="s">
        <v>2610</v>
      </c>
      <c r="J220" t="s">
        <v>2926</v>
      </c>
      <c r="K220" t="s">
        <v>2612</v>
      </c>
    </row>
    <row r="221" spans="1:11" x14ac:dyDescent="0.25">
      <c r="A221" t="s">
        <v>2927</v>
      </c>
      <c r="B221" s="18">
        <v>46258.60691530093</v>
      </c>
      <c r="C221" t="s">
        <v>123</v>
      </c>
      <c r="D221" t="s">
        <v>294</v>
      </c>
      <c r="E221" t="s">
        <v>209</v>
      </c>
      <c r="F221" t="s">
        <v>2607</v>
      </c>
      <c r="G221" t="s">
        <v>2608</v>
      </c>
      <c r="H221" t="s">
        <v>2609</v>
      </c>
      <c r="I221" t="s">
        <v>2610</v>
      </c>
      <c r="J221" t="s">
        <v>2928</v>
      </c>
      <c r="K221" t="s">
        <v>2612</v>
      </c>
    </row>
    <row r="222" spans="1:11" x14ac:dyDescent="0.25">
      <c r="A222" t="s">
        <v>2929</v>
      </c>
      <c r="B222" s="18">
        <v>46258.61753310185</v>
      </c>
      <c r="C222" t="s">
        <v>96</v>
      </c>
      <c r="D222" t="s">
        <v>288</v>
      </c>
      <c r="E222" t="s">
        <v>206</v>
      </c>
      <c r="F222" t="s">
        <v>2607</v>
      </c>
      <c r="G222" t="s">
        <v>2608</v>
      </c>
      <c r="H222" t="s">
        <v>2609</v>
      </c>
      <c r="I222" t="s">
        <v>2610</v>
      </c>
      <c r="J222" t="s">
        <v>2930</v>
      </c>
      <c r="K222" t="s">
        <v>2612</v>
      </c>
    </row>
    <row r="223" spans="1:11" x14ac:dyDescent="0.25">
      <c r="A223" t="s">
        <v>2931</v>
      </c>
      <c r="B223" s="18">
        <v>46258.61753310185</v>
      </c>
      <c r="C223" t="s">
        <v>100</v>
      </c>
      <c r="D223" t="s">
        <v>257</v>
      </c>
      <c r="E223" t="s">
        <v>206</v>
      </c>
      <c r="F223" t="s">
        <v>2607</v>
      </c>
      <c r="G223" t="s">
        <v>2608</v>
      </c>
      <c r="H223" t="s">
        <v>2618</v>
      </c>
      <c r="I223" t="s">
        <v>2610</v>
      </c>
      <c r="J223" t="s">
        <v>2932</v>
      </c>
      <c r="K223" t="s">
        <v>2612</v>
      </c>
    </row>
    <row r="224" spans="1:11" x14ac:dyDescent="0.25">
      <c r="A224" t="s">
        <v>2933</v>
      </c>
      <c r="B224" s="18">
        <v>46258.61753310185</v>
      </c>
      <c r="C224" t="s">
        <v>106</v>
      </c>
      <c r="D224" t="s">
        <v>257</v>
      </c>
      <c r="E224" t="s">
        <v>206</v>
      </c>
      <c r="F224" t="s">
        <v>2614</v>
      </c>
      <c r="G224" t="s">
        <v>2649</v>
      </c>
      <c r="H224" t="s">
        <v>2609</v>
      </c>
      <c r="I224">
        <v>1</v>
      </c>
      <c r="J224" t="s">
        <v>2934</v>
      </c>
      <c r="K224" t="s">
        <v>2612</v>
      </c>
    </row>
    <row r="225" spans="1:11" x14ac:dyDescent="0.25">
      <c r="A225" t="s">
        <v>2935</v>
      </c>
      <c r="B225" s="18">
        <v>46258.61753310185</v>
      </c>
      <c r="C225" t="s">
        <v>106</v>
      </c>
      <c r="D225" t="s">
        <v>257</v>
      </c>
      <c r="E225" t="s">
        <v>209</v>
      </c>
      <c r="F225" t="s">
        <v>2607</v>
      </c>
      <c r="G225" t="s">
        <v>2608</v>
      </c>
      <c r="H225" t="s">
        <v>2609</v>
      </c>
      <c r="I225" t="s">
        <v>2610</v>
      </c>
      <c r="J225" t="s">
        <v>2936</v>
      </c>
      <c r="K225" t="s">
        <v>2612</v>
      </c>
    </row>
    <row r="226" spans="1:11" x14ac:dyDescent="0.25">
      <c r="A226" t="s">
        <v>2937</v>
      </c>
      <c r="B226" s="18">
        <v>46258.61753310185</v>
      </c>
      <c r="C226" t="s">
        <v>108</v>
      </c>
      <c r="D226" t="s">
        <v>257</v>
      </c>
      <c r="E226" t="s">
        <v>206</v>
      </c>
      <c r="F226" t="s">
        <v>2607</v>
      </c>
      <c r="G226" t="s">
        <v>2608</v>
      </c>
      <c r="H226" t="s">
        <v>2609</v>
      </c>
      <c r="I226" t="s">
        <v>2610</v>
      </c>
      <c r="J226" t="s">
        <v>2938</v>
      </c>
      <c r="K226" t="s">
        <v>2612</v>
      </c>
    </row>
    <row r="227" spans="1:11" x14ac:dyDescent="0.25">
      <c r="A227" t="s">
        <v>2939</v>
      </c>
      <c r="B227" s="18">
        <v>46258.61753310185</v>
      </c>
      <c r="C227" t="s">
        <v>109</v>
      </c>
      <c r="D227" t="s">
        <v>257</v>
      </c>
      <c r="E227" t="s">
        <v>206</v>
      </c>
      <c r="F227" t="s">
        <v>2607</v>
      </c>
      <c r="G227" t="s">
        <v>2608</v>
      </c>
      <c r="H227" t="s">
        <v>2609</v>
      </c>
      <c r="I227" t="s">
        <v>2610</v>
      </c>
      <c r="J227" t="s">
        <v>2940</v>
      </c>
      <c r="K227" t="s">
        <v>2612</v>
      </c>
    </row>
    <row r="228" spans="1:11" x14ac:dyDescent="0.25">
      <c r="A228" t="s">
        <v>2941</v>
      </c>
      <c r="B228" s="18">
        <v>46258.61753310185</v>
      </c>
      <c r="C228" t="s">
        <v>111</v>
      </c>
      <c r="D228" t="s">
        <v>257</v>
      </c>
      <c r="E228" t="s">
        <v>206</v>
      </c>
      <c r="F228" t="s">
        <v>2607</v>
      </c>
      <c r="G228" t="s">
        <v>2608</v>
      </c>
      <c r="H228" t="s">
        <v>2609</v>
      </c>
      <c r="I228" t="s">
        <v>2610</v>
      </c>
      <c r="J228" t="s">
        <v>2942</v>
      </c>
      <c r="K228" t="s">
        <v>2612</v>
      </c>
    </row>
    <row r="229" spans="1:11" x14ac:dyDescent="0.25">
      <c r="A229" t="s">
        <v>2943</v>
      </c>
      <c r="B229" s="18">
        <v>46258.61753310185</v>
      </c>
      <c r="C229" t="s">
        <v>118</v>
      </c>
      <c r="D229" t="s">
        <v>294</v>
      </c>
      <c r="E229" t="s">
        <v>206</v>
      </c>
      <c r="F229" t="s">
        <v>2607</v>
      </c>
      <c r="G229" t="s">
        <v>2608</v>
      </c>
      <c r="H229" t="s">
        <v>2618</v>
      </c>
      <c r="I229" t="s">
        <v>2610</v>
      </c>
      <c r="J229" t="s">
        <v>2944</v>
      </c>
      <c r="K229" t="s">
        <v>2612</v>
      </c>
    </row>
    <row r="230" spans="1:11" x14ac:dyDescent="0.25">
      <c r="A230" t="s">
        <v>2945</v>
      </c>
      <c r="B230" s="18">
        <v>46258.61753310185</v>
      </c>
      <c r="C230" t="s">
        <v>123</v>
      </c>
      <c r="D230" t="s">
        <v>294</v>
      </c>
      <c r="E230" t="s">
        <v>206</v>
      </c>
      <c r="F230" t="s">
        <v>2607</v>
      </c>
      <c r="G230" t="s">
        <v>2608</v>
      </c>
      <c r="H230" t="s">
        <v>2618</v>
      </c>
      <c r="I230" t="s">
        <v>2610</v>
      </c>
      <c r="J230" t="s">
        <v>2946</v>
      </c>
      <c r="K230" t="s">
        <v>2612</v>
      </c>
    </row>
    <row r="231" spans="1:11" x14ac:dyDescent="0.25">
      <c r="A231" t="s">
        <v>2947</v>
      </c>
      <c r="B231" s="18">
        <v>46258.61753310185</v>
      </c>
      <c r="C231" t="s">
        <v>125</v>
      </c>
      <c r="D231" t="s">
        <v>305</v>
      </c>
      <c r="E231" t="s">
        <v>206</v>
      </c>
      <c r="F231" t="s">
        <v>2607</v>
      </c>
      <c r="G231" t="s">
        <v>2608</v>
      </c>
      <c r="H231" t="s">
        <v>2609</v>
      </c>
      <c r="I231" t="s">
        <v>2610</v>
      </c>
      <c r="J231" t="s">
        <v>2948</v>
      </c>
      <c r="K231" t="s">
        <v>2612</v>
      </c>
    </row>
    <row r="232" spans="1:11" x14ac:dyDescent="0.25">
      <c r="A232" t="s">
        <v>2949</v>
      </c>
      <c r="B232" s="18">
        <v>46258.61753310185</v>
      </c>
      <c r="C232" t="s">
        <v>125</v>
      </c>
      <c r="D232" t="s">
        <v>305</v>
      </c>
      <c r="E232" t="s">
        <v>209</v>
      </c>
      <c r="F232" t="s">
        <v>2614</v>
      </c>
      <c r="G232" t="s">
        <v>2649</v>
      </c>
      <c r="H232" t="s">
        <v>2609</v>
      </c>
      <c r="I232">
        <v>1</v>
      </c>
      <c r="J232" t="s">
        <v>2950</v>
      </c>
      <c r="K232" t="s">
        <v>2612</v>
      </c>
    </row>
    <row r="233" spans="1:11" x14ac:dyDescent="0.25">
      <c r="A233" t="s">
        <v>2951</v>
      </c>
      <c r="B233" s="18">
        <v>46258.62809752315</v>
      </c>
      <c r="C233" t="s">
        <v>94</v>
      </c>
      <c r="D233" t="s">
        <v>288</v>
      </c>
      <c r="E233" t="s">
        <v>206</v>
      </c>
      <c r="F233" t="s">
        <v>2607</v>
      </c>
      <c r="G233" t="s">
        <v>2608</v>
      </c>
      <c r="H233" t="s">
        <v>2618</v>
      </c>
      <c r="I233" t="s">
        <v>2610</v>
      </c>
      <c r="J233" t="s">
        <v>2952</v>
      </c>
      <c r="K233" t="s">
        <v>2612</v>
      </c>
    </row>
    <row r="234" spans="1:11" x14ac:dyDescent="0.25">
      <c r="A234" t="s">
        <v>2953</v>
      </c>
      <c r="B234" s="18">
        <v>46258.62809752315</v>
      </c>
      <c r="C234" t="s">
        <v>96</v>
      </c>
      <c r="D234" t="s">
        <v>288</v>
      </c>
      <c r="E234" t="s">
        <v>209</v>
      </c>
      <c r="F234" t="s">
        <v>2607</v>
      </c>
      <c r="G234" t="s">
        <v>2608</v>
      </c>
      <c r="H234" t="s">
        <v>2618</v>
      </c>
      <c r="I234" t="s">
        <v>2610</v>
      </c>
      <c r="J234" t="s">
        <v>2954</v>
      </c>
      <c r="K234" t="s">
        <v>2612</v>
      </c>
    </row>
    <row r="235" spans="1:11" x14ac:dyDescent="0.25">
      <c r="A235" t="s">
        <v>2955</v>
      </c>
      <c r="B235" s="18">
        <v>46258.62809752315</v>
      </c>
      <c r="C235" t="s">
        <v>118</v>
      </c>
      <c r="D235" t="s">
        <v>294</v>
      </c>
      <c r="E235" t="s">
        <v>206</v>
      </c>
      <c r="F235" t="s">
        <v>2607</v>
      </c>
      <c r="G235" t="s">
        <v>2608</v>
      </c>
      <c r="H235" t="s">
        <v>2618</v>
      </c>
      <c r="I235" t="s">
        <v>2610</v>
      </c>
      <c r="J235" t="s">
        <v>2956</v>
      </c>
      <c r="K235" t="s">
        <v>2612</v>
      </c>
    </row>
    <row r="236" spans="1:11" x14ac:dyDescent="0.25">
      <c r="A236" t="s">
        <v>2957</v>
      </c>
      <c r="B236" s="18">
        <v>46258.62809752315</v>
      </c>
      <c r="C236" t="s">
        <v>124</v>
      </c>
      <c r="D236" t="s">
        <v>305</v>
      </c>
      <c r="E236" t="s">
        <v>206</v>
      </c>
      <c r="F236" t="s">
        <v>2607</v>
      </c>
      <c r="G236" t="s">
        <v>2608</v>
      </c>
      <c r="H236" t="s">
        <v>2618</v>
      </c>
      <c r="I236" t="s">
        <v>2610</v>
      </c>
      <c r="J236" t="s">
        <v>2958</v>
      </c>
      <c r="K236" t="s">
        <v>2612</v>
      </c>
    </row>
    <row r="237" spans="1:11" x14ac:dyDescent="0.25">
      <c r="A237" t="s">
        <v>2959</v>
      </c>
      <c r="B237" s="18">
        <v>46258.62809752315</v>
      </c>
      <c r="C237" t="s">
        <v>125</v>
      </c>
      <c r="D237" t="s">
        <v>305</v>
      </c>
      <c r="E237" t="s">
        <v>206</v>
      </c>
      <c r="F237" t="s">
        <v>2614</v>
      </c>
      <c r="G237" t="s">
        <v>2649</v>
      </c>
      <c r="H237" t="s">
        <v>2618</v>
      </c>
      <c r="I237">
        <v>1</v>
      </c>
      <c r="J237" t="s">
        <v>2960</v>
      </c>
      <c r="K237" t="s">
        <v>2612</v>
      </c>
    </row>
    <row r="238" spans="1:11" x14ac:dyDescent="0.25">
      <c r="A238" t="s">
        <v>2961</v>
      </c>
      <c r="B238" s="18">
        <v>46258.638701909724</v>
      </c>
      <c r="C238" t="s">
        <v>96</v>
      </c>
      <c r="D238" t="s">
        <v>288</v>
      </c>
      <c r="E238" t="s">
        <v>206</v>
      </c>
      <c r="F238" t="s">
        <v>2607</v>
      </c>
      <c r="G238" t="s">
        <v>2608</v>
      </c>
      <c r="H238" t="s">
        <v>2609</v>
      </c>
      <c r="I238" t="s">
        <v>2610</v>
      </c>
      <c r="J238" t="s">
        <v>2962</v>
      </c>
      <c r="K238" t="s">
        <v>2612</v>
      </c>
    </row>
    <row r="239" spans="1:11" x14ac:dyDescent="0.25">
      <c r="A239" t="s">
        <v>2963</v>
      </c>
      <c r="B239" s="18">
        <v>46258.638701909724</v>
      </c>
      <c r="C239" t="s">
        <v>101</v>
      </c>
      <c r="D239" t="s">
        <v>257</v>
      </c>
      <c r="E239" t="s">
        <v>209</v>
      </c>
      <c r="F239" t="s">
        <v>2607</v>
      </c>
      <c r="G239" t="s">
        <v>2608</v>
      </c>
      <c r="H239" t="s">
        <v>2609</v>
      </c>
      <c r="I239" t="s">
        <v>2610</v>
      </c>
      <c r="J239" t="s">
        <v>2964</v>
      </c>
      <c r="K239" t="s">
        <v>2612</v>
      </c>
    </row>
    <row r="240" spans="1:11" x14ac:dyDescent="0.25">
      <c r="A240" t="s">
        <v>2965</v>
      </c>
      <c r="B240" s="18">
        <v>46258.638701909724</v>
      </c>
      <c r="C240" t="s">
        <v>106</v>
      </c>
      <c r="D240" t="s">
        <v>257</v>
      </c>
      <c r="E240" t="s">
        <v>206</v>
      </c>
      <c r="F240" t="s">
        <v>2607</v>
      </c>
      <c r="G240" t="s">
        <v>2608</v>
      </c>
      <c r="H240" t="s">
        <v>2618</v>
      </c>
      <c r="I240" t="s">
        <v>2610</v>
      </c>
      <c r="J240" t="s">
        <v>2966</v>
      </c>
      <c r="K240" t="s">
        <v>2612</v>
      </c>
    </row>
    <row r="241" spans="1:11" x14ac:dyDescent="0.25">
      <c r="A241" t="s">
        <v>2967</v>
      </c>
      <c r="B241" s="18">
        <v>46258.638701909724</v>
      </c>
      <c r="C241" t="s">
        <v>109</v>
      </c>
      <c r="D241" t="s">
        <v>257</v>
      </c>
      <c r="E241" t="s">
        <v>206</v>
      </c>
      <c r="F241" t="s">
        <v>2614</v>
      </c>
      <c r="G241" t="s">
        <v>2649</v>
      </c>
      <c r="H241" t="s">
        <v>2609</v>
      </c>
      <c r="I241">
        <v>1</v>
      </c>
      <c r="J241" t="s">
        <v>2968</v>
      </c>
      <c r="K241" t="s">
        <v>2612</v>
      </c>
    </row>
    <row r="242" spans="1:11" x14ac:dyDescent="0.25">
      <c r="A242" t="s">
        <v>2969</v>
      </c>
      <c r="B242" s="18">
        <v>46258.638701909724</v>
      </c>
      <c r="C242" t="s">
        <v>115</v>
      </c>
      <c r="D242" t="s">
        <v>257</v>
      </c>
      <c r="E242" t="s">
        <v>209</v>
      </c>
      <c r="F242" t="s">
        <v>2614</v>
      </c>
      <c r="G242" t="s">
        <v>2649</v>
      </c>
      <c r="H242" t="s">
        <v>2618</v>
      </c>
      <c r="I242">
        <v>1</v>
      </c>
      <c r="J242" t="s">
        <v>2970</v>
      </c>
      <c r="K242" t="s">
        <v>2612</v>
      </c>
    </row>
    <row r="243" spans="1:11" x14ac:dyDescent="0.25">
      <c r="A243" t="s">
        <v>2971</v>
      </c>
      <c r="B243" s="18">
        <v>46258.638701909724</v>
      </c>
      <c r="C243" t="s">
        <v>123</v>
      </c>
      <c r="D243" t="s">
        <v>294</v>
      </c>
      <c r="E243" t="s">
        <v>206</v>
      </c>
      <c r="F243" t="s">
        <v>2607</v>
      </c>
      <c r="G243" t="s">
        <v>2608</v>
      </c>
      <c r="H243" t="s">
        <v>2609</v>
      </c>
      <c r="I243" t="s">
        <v>2610</v>
      </c>
      <c r="J243" t="s">
        <v>2972</v>
      </c>
      <c r="K243" t="s">
        <v>2612</v>
      </c>
    </row>
    <row r="244" spans="1:11" x14ac:dyDescent="0.25">
      <c r="A244" t="s">
        <v>2973</v>
      </c>
      <c r="B244" s="18">
        <v>46258.638701909724</v>
      </c>
      <c r="C244" t="s">
        <v>125</v>
      </c>
      <c r="D244" t="s">
        <v>305</v>
      </c>
      <c r="E244" t="s">
        <v>206</v>
      </c>
      <c r="F244" t="s">
        <v>2607</v>
      </c>
      <c r="G244" t="s">
        <v>2608</v>
      </c>
      <c r="H244" t="s">
        <v>2609</v>
      </c>
      <c r="I244" t="s">
        <v>2610</v>
      </c>
      <c r="J244" t="s">
        <v>2974</v>
      </c>
      <c r="K244" t="s">
        <v>2612</v>
      </c>
    </row>
    <row r="245" spans="1:11" x14ac:dyDescent="0.25">
      <c r="A245" t="s">
        <v>2975</v>
      </c>
      <c r="B245" s="18">
        <v>46258.638701909724</v>
      </c>
      <c r="C245" t="s">
        <v>125</v>
      </c>
      <c r="D245" t="s">
        <v>305</v>
      </c>
      <c r="E245" t="s">
        <v>209</v>
      </c>
      <c r="F245" t="s">
        <v>2607</v>
      </c>
      <c r="G245" t="s">
        <v>2608</v>
      </c>
      <c r="H245" t="s">
        <v>2609</v>
      </c>
      <c r="I245" t="s">
        <v>2610</v>
      </c>
      <c r="J245" t="s">
        <v>2976</v>
      </c>
      <c r="K245" t="s">
        <v>2612</v>
      </c>
    </row>
    <row r="246" spans="1:11" x14ac:dyDescent="0.25">
      <c r="A246" t="s">
        <v>2977</v>
      </c>
      <c r="B246" s="18">
        <v>46258.64928773148</v>
      </c>
      <c r="C246" t="s">
        <v>94</v>
      </c>
      <c r="D246" t="s">
        <v>288</v>
      </c>
      <c r="E246" t="s">
        <v>206</v>
      </c>
      <c r="F246" t="s">
        <v>2607</v>
      </c>
      <c r="G246" t="s">
        <v>2608</v>
      </c>
      <c r="H246" t="s">
        <v>2609</v>
      </c>
      <c r="I246" t="s">
        <v>2610</v>
      </c>
      <c r="J246" t="s">
        <v>2978</v>
      </c>
      <c r="K246" t="s">
        <v>2612</v>
      </c>
    </row>
    <row r="247" spans="1:11" x14ac:dyDescent="0.25">
      <c r="A247" t="s">
        <v>2979</v>
      </c>
      <c r="B247" s="18">
        <v>46258.64928773148</v>
      </c>
      <c r="C247" t="s">
        <v>105</v>
      </c>
      <c r="D247" t="s">
        <v>257</v>
      </c>
      <c r="E247" t="s">
        <v>206</v>
      </c>
      <c r="F247" t="s">
        <v>2607</v>
      </c>
      <c r="G247" t="s">
        <v>2608</v>
      </c>
      <c r="H247" t="s">
        <v>2618</v>
      </c>
      <c r="I247" t="s">
        <v>2610</v>
      </c>
      <c r="J247" t="s">
        <v>2980</v>
      </c>
      <c r="K247" t="s">
        <v>2612</v>
      </c>
    </row>
    <row r="248" spans="1:11" x14ac:dyDescent="0.25">
      <c r="A248" t="s">
        <v>2981</v>
      </c>
      <c r="B248" s="18">
        <v>46258.64928773148</v>
      </c>
      <c r="C248" t="s">
        <v>109</v>
      </c>
      <c r="D248" t="s">
        <v>257</v>
      </c>
      <c r="E248" t="s">
        <v>206</v>
      </c>
      <c r="F248" t="s">
        <v>2614</v>
      </c>
      <c r="G248" t="s">
        <v>2649</v>
      </c>
      <c r="H248" t="s">
        <v>2609</v>
      </c>
      <c r="I248">
        <v>1</v>
      </c>
      <c r="J248" t="s">
        <v>2982</v>
      </c>
      <c r="K248" t="s">
        <v>2612</v>
      </c>
    </row>
    <row r="249" spans="1:11" x14ac:dyDescent="0.25">
      <c r="A249" t="s">
        <v>2983</v>
      </c>
      <c r="B249" s="18">
        <v>46258.64928773148</v>
      </c>
      <c r="C249" t="s">
        <v>118</v>
      </c>
      <c r="D249" t="s">
        <v>294</v>
      </c>
      <c r="E249" t="s">
        <v>209</v>
      </c>
      <c r="F249" t="s">
        <v>2607</v>
      </c>
      <c r="G249" t="s">
        <v>2608</v>
      </c>
      <c r="H249" t="s">
        <v>2609</v>
      </c>
      <c r="I249" t="s">
        <v>2610</v>
      </c>
      <c r="J249" t="s">
        <v>2984</v>
      </c>
      <c r="K249" t="s">
        <v>2612</v>
      </c>
    </row>
    <row r="250" spans="1:11" x14ac:dyDescent="0.25">
      <c r="A250" t="s">
        <v>2985</v>
      </c>
      <c r="B250" s="18">
        <v>46258.659934270836</v>
      </c>
      <c r="C250" t="s">
        <v>94</v>
      </c>
      <c r="D250" t="s">
        <v>288</v>
      </c>
      <c r="E250" t="s">
        <v>206</v>
      </c>
      <c r="F250" t="s">
        <v>2607</v>
      </c>
      <c r="G250" t="s">
        <v>2608</v>
      </c>
      <c r="H250" t="s">
        <v>2618</v>
      </c>
      <c r="I250" t="s">
        <v>2610</v>
      </c>
      <c r="J250" t="s">
        <v>2986</v>
      </c>
      <c r="K250" t="s">
        <v>2612</v>
      </c>
    </row>
    <row r="251" spans="1:11" x14ac:dyDescent="0.25">
      <c r="A251" t="s">
        <v>2987</v>
      </c>
      <c r="B251" s="18">
        <v>46258.659934270836</v>
      </c>
      <c r="C251" t="s">
        <v>94</v>
      </c>
      <c r="D251" t="s">
        <v>288</v>
      </c>
      <c r="E251" t="s">
        <v>206</v>
      </c>
      <c r="F251" t="s">
        <v>2614</v>
      </c>
      <c r="G251" t="s">
        <v>2649</v>
      </c>
      <c r="H251" t="s">
        <v>2618</v>
      </c>
      <c r="I251">
        <v>1</v>
      </c>
      <c r="J251" t="s">
        <v>2988</v>
      </c>
      <c r="K251" t="s">
        <v>2612</v>
      </c>
    </row>
    <row r="252" spans="1:11" x14ac:dyDescent="0.25">
      <c r="A252" t="s">
        <v>2989</v>
      </c>
      <c r="B252" s="18">
        <v>46258.659934270836</v>
      </c>
      <c r="C252" t="s">
        <v>96</v>
      </c>
      <c r="D252" t="s">
        <v>288</v>
      </c>
      <c r="E252" t="s">
        <v>206</v>
      </c>
      <c r="F252" t="s">
        <v>2614</v>
      </c>
      <c r="G252" t="s">
        <v>2649</v>
      </c>
      <c r="H252" t="s">
        <v>2609</v>
      </c>
      <c r="I252">
        <v>1</v>
      </c>
      <c r="J252" t="s">
        <v>2990</v>
      </c>
      <c r="K252" t="s">
        <v>2612</v>
      </c>
    </row>
    <row r="253" spans="1:11" x14ac:dyDescent="0.25">
      <c r="A253" t="s">
        <v>2991</v>
      </c>
      <c r="B253" s="18">
        <v>46258.659934270836</v>
      </c>
      <c r="C253" t="s">
        <v>121</v>
      </c>
      <c r="D253" t="s">
        <v>294</v>
      </c>
      <c r="E253" t="s">
        <v>206</v>
      </c>
      <c r="F253" t="s">
        <v>2614</v>
      </c>
      <c r="G253" t="s">
        <v>2649</v>
      </c>
      <c r="H253" t="s">
        <v>2618</v>
      </c>
      <c r="I253">
        <v>1</v>
      </c>
      <c r="J253" t="s">
        <v>2992</v>
      </c>
      <c r="K253" t="s">
        <v>2612</v>
      </c>
    </row>
    <row r="254" spans="1:11" x14ac:dyDescent="0.25">
      <c r="A254" t="s">
        <v>2993</v>
      </c>
      <c r="B254" s="18">
        <v>46258.659934282405</v>
      </c>
      <c r="C254" t="s">
        <v>121</v>
      </c>
      <c r="D254" t="s">
        <v>294</v>
      </c>
      <c r="E254" t="s">
        <v>209</v>
      </c>
      <c r="F254" t="s">
        <v>2607</v>
      </c>
      <c r="G254" t="s">
        <v>2608</v>
      </c>
      <c r="H254" t="s">
        <v>2618</v>
      </c>
      <c r="I254" t="s">
        <v>2610</v>
      </c>
      <c r="J254" t="s">
        <v>2994</v>
      </c>
      <c r="K254" t="s">
        <v>2612</v>
      </c>
    </row>
    <row r="255" spans="1:11" x14ac:dyDescent="0.25">
      <c r="A255" t="s">
        <v>2995</v>
      </c>
      <c r="B255" s="18">
        <v>46258.659934282405</v>
      </c>
      <c r="C255" t="s">
        <v>123</v>
      </c>
      <c r="D255" t="s">
        <v>294</v>
      </c>
      <c r="E255" t="s">
        <v>209</v>
      </c>
      <c r="F255" t="s">
        <v>2607</v>
      </c>
      <c r="G255" t="s">
        <v>2608</v>
      </c>
      <c r="H255" t="s">
        <v>2618</v>
      </c>
      <c r="I255" t="s">
        <v>2610</v>
      </c>
      <c r="J255" t="s">
        <v>2996</v>
      </c>
      <c r="K255" t="s">
        <v>2612</v>
      </c>
    </row>
    <row r="256" spans="1:11" x14ac:dyDescent="0.25">
      <c r="A256" t="s">
        <v>2997</v>
      </c>
      <c r="B256" s="18">
        <v>46258.659934282405</v>
      </c>
      <c r="C256" t="s">
        <v>124</v>
      </c>
      <c r="D256" t="s">
        <v>305</v>
      </c>
      <c r="E256" t="s">
        <v>206</v>
      </c>
      <c r="F256" t="s">
        <v>2607</v>
      </c>
      <c r="G256" t="s">
        <v>2608</v>
      </c>
      <c r="H256" t="s">
        <v>2618</v>
      </c>
      <c r="I256" t="s">
        <v>2610</v>
      </c>
      <c r="J256" t="s">
        <v>2998</v>
      </c>
      <c r="K256" t="s">
        <v>2612</v>
      </c>
    </row>
    <row r="257" spans="1:11" x14ac:dyDescent="0.25">
      <c r="A257" t="s">
        <v>2999</v>
      </c>
      <c r="B257" s="18">
        <v>46258.659934282405</v>
      </c>
      <c r="C257" t="s">
        <v>125</v>
      </c>
      <c r="D257" t="s">
        <v>305</v>
      </c>
      <c r="E257" t="s">
        <v>206</v>
      </c>
      <c r="F257" t="s">
        <v>2607</v>
      </c>
      <c r="G257" t="s">
        <v>2608</v>
      </c>
      <c r="H257" t="s">
        <v>2618</v>
      </c>
      <c r="I257" t="s">
        <v>2610</v>
      </c>
      <c r="J257" t="s">
        <v>3000</v>
      </c>
      <c r="K257" t="s">
        <v>2612</v>
      </c>
    </row>
    <row r="258" spans="1:11" x14ac:dyDescent="0.25">
      <c r="A258" t="s">
        <v>3001</v>
      </c>
      <c r="B258" s="18">
        <v>46258.659934282405</v>
      </c>
      <c r="C258" t="s">
        <v>125</v>
      </c>
      <c r="D258" t="s">
        <v>305</v>
      </c>
      <c r="E258" t="s">
        <v>206</v>
      </c>
      <c r="F258" t="s">
        <v>2614</v>
      </c>
      <c r="G258" t="s">
        <v>2649</v>
      </c>
      <c r="H258" t="s">
        <v>2618</v>
      </c>
      <c r="I258">
        <v>1</v>
      </c>
      <c r="J258" t="s">
        <v>3002</v>
      </c>
      <c r="K258" t="s">
        <v>2612</v>
      </c>
    </row>
    <row r="259" spans="1:11" x14ac:dyDescent="0.25">
      <c r="A259" t="s">
        <v>3003</v>
      </c>
      <c r="B259" s="18">
        <v>46258.67056119213</v>
      </c>
      <c r="C259" t="s">
        <v>94</v>
      </c>
      <c r="D259" t="s">
        <v>288</v>
      </c>
      <c r="E259" t="s">
        <v>206</v>
      </c>
      <c r="F259" t="s">
        <v>2607</v>
      </c>
      <c r="G259" t="s">
        <v>2608</v>
      </c>
      <c r="H259" t="s">
        <v>2618</v>
      </c>
      <c r="I259" t="s">
        <v>2610</v>
      </c>
      <c r="J259" t="s">
        <v>3004</v>
      </c>
      <c r="K259" t="s">
        <v>2612</v>
      </c>
    </row>
    <row r="260" spans="1:11" x14ac:dyDescent="0.25">
      <c r="A260" t="s">
        <v>3005</v>
      </c>
      <c r="B260" s="18">
        <v>46258.670561203704</v>
      </c>
      <c r="C260" t="s">
        <v>94</v>
      </c>
      <c r="D260" t="s">
        <v>288</v>
      </c>
      <c r="E260" t="s">
        <v>209</v>
      </c>
      <c r="F260" t="s">
        <v>2607</v>
      </c>
      <c r="G260" t="s">
        <v>2608</v>
      </c>
      <c r="H260" t="s">
        <v>2618</v>
      </c>
      <c r="I260" t="s">
        <v>2610</v>
      </c>
      <c r="J260" t="s">
        <v>3006</v>
      </c>
      <c r="K260" t="s">
        <v>2612</v>
      </c>
    </row>
    <row r="261" spans="1:11" x14ac:dyDescent="0.25">
      <c r="A261" t="s">
        <v>3007</v>
      </c>
      <c r="B261" s="18">
        <v>46258.670561203704</v>
      </c>
      <c r="C261" t="s">
        <v>97</v>
      </c>
      <c r="D261" t="s">
        <v>257</v>
      </c>
      <c r="E261" t="s">
        <v>206</v>
      </c>
      <c r="F261" t="s">
        <v>2607</v>
      </c>
      <c r="G261" t="s">
        <v>2608</v>
      </c>
      <c r="H261" t="s">
        <v>2618</v>
      </c>
      <c r="I261" t="s">
        <v>2610</v>
      </c>
      <c r="J261" t="s">
        <v>3008</v>
      </c>
      <c r="K261" t="s">
        <v>2612</v>
      </c>
    </row>
    <row r="262" spans="1:11" x14ac:dyDescent="0.25">
      <c r="A262" t="s">
        <v>3009</v>
      </c>
      <c r="B262" s="18">
        <v>46258.670561203704</v>
      </c>
      <c r="C262" t="s">
        <v>99</v>
      </c>
      <c r="D262" t="s">
        <v>257</v>
      </c>
      <c r="E262" t="s">
        <v>206</v>
      </c>
      <c r="F262" t="s">
        <v>2614</v>
      </c>
      <c r="G262" t="s">
        <v>2649</v>
      </c>
      <c r="H262" t="s">
        <v>2609</v>
      </c>
      <c r="I262">
        <v>1</v>
      </c>
      <c r="J262" t="s">
        <v>3010</v>
      </c>
      <c r="K262" t="s">
        <v>2612</v>
      </c>
    </row>
    <row r="263" spans="1:11" x14ac:dyDescent="0.25">
      <c r="A263" t="s">
        <v>3011</v>
      </c>
      <c r="B263" s="18">
        <v>46258.670561203704</v>
      </c>
      <c r="C263" t="s">
        <v>99</v>
      </c>
      <c r="D263" t="s">
        <v>257</v>
      </c>
      <c r="E263" t="s">
        <v>209</v>
      </c>
      <c r="F263" t="s">
        <v>2607</v>
      </c>
      <c r="G263" t="s">
        <v>2608</v>
      </c>
      <c r="H263" t="s">
        <v>2609</v>
      </c>
      <c r="I263" t="s">
        <v>2610</v>
      </c>
      <c r="J263" t="s">
        <v>3012</v>
      </c>
      <c r="K263" t="s">
        <v>2612</v>
      </c>
    </row>
    <row r="264" spans="1:11" x14ac:dyDescent="0.25">
      <c r="A264" t="s">
        <v>3013</v>
      </c>
      <c r="B264" s="18">
        <v>46258.670561203704</v>
      </c>
      <c r="C264" t="s">
        <v>100</v>
      </c>
      <c r="D264" t="s">
        <v>257</v>
      </c>
      <c r="E264" t="s">
        <v>209</v>
      </c>
      <c r="F264" t="s">
        <v>2607</v>
      </c>
      <c r="G264" t="s">
        <v>2608</v>
      </c>
      <c r="H264" t="s">
        <v>2618</v>
      </c>
      <c r="I264" t="s">
        <v>2610</v>
      </c>
      <c r="J264" t="s">
        <v>3014</v>
      </c>
      <c r="K264" t="s">
        <v>2612</v>
      </c>
    </row>
    <row r="265" spans="1:11" x14ac:dyDescent="0.25">
      <c r="A265" t="s">
        <v>3015</v>
      </c>
      <c r="B265" s="18">
        <v>46258.670561203704</v>
      </c>
      <c r="C265" t="s">
        <v>105</v>
      </c>
      <c r="D265" t="s">
        <v>257</v>
      </c>
      <c r="E265" t="s">
        <v>206</v>
      </c>
      <c r="F265" t="s">
        <v>2607</v>
      </c>
      <c r="G265" t="s">
        <v>2608</v>
      </c>
      <c r="H265" t="s">
        <v>2609</v>
      </c>
      <c r="I265" t="s">
        <v>2610</v>
      </c>
      <c r="J265" t="s">
        <v>3016</v>
      </c>
      <c r="K265" t="s">
        <v>2612</v>
      </c>
    </row>
    <row r="266" spans="1:11" x14ac:dyDescent="0.25">
      <c r="A266" t="s">
        <v>3017</v>
      </c>
      <c r="B266" s="18">
        <v>46258.670561203704</v>
      </c>
      <c r="C266" t="s">
        <v>106</v>
      </c>
      <c r="D266" t="s">
        <v>257</v>
      </c>
      <c r="E266" t="s">
        <v>206</v>
      </c>
      <c r="F266" t="s">
        <v>2614</v>
      </c>
      <c r="G266" t="s">
        <v>2649</v>
      </c>
      <c r="H266" t="s">
        <v>2618</v>
      </c>
      <c r="I266">
        <v>1</v>
      </c>
      <c r="J266" t="s">
        <v>3018</v>
      </c>
      <c r="K266" t="s">
        <v>2612</v>
      </c>
    </row>
    <row r="267" spans="1:11" x14ac:dyDescent="0.25">
      <c r="A267" t="s">
        <v>3019</v>
      </c>
      <c r="B267" s="18">
        <v>46258.670561203704</v>
      </c>
      <c r="C267" t="s">
        <v>106</v>
      </c>
      <c r="D267" t="s">
        <v>257</v>
      </c>
      <c r="E267" t="s">
        <v>209</v>
      </c>
      <c r="F267" t="s">
        <v>2607</v>
      </c>
      <c r="G267" t="s">
        <v>2608</v>
      </c>
      <c r="H267" t="s">
        <v>2618</v>
      </c>
      <c r="I267" t="s">
        <v>2610</v>
      </c>
      <c r="J267" t="s">
        <v>3020</v>
      </c>
      <c r="K267" t="s">
        <v>2612</v>
      </c>
    </row>
    <row r="268" spans="1:11" x14ac:dyDescent="0.25">
      <c r="A268" t="s">
        <v>3021</v>
      </c>
      <c r="B268" s="18">
        <v>46258.670561203704</v>
      </c>
      <c r="C268" t="s">
        <v>116</v>
      </c>
      <c r="D268" t="s">
        <v>294</v>
      </c>
      <c r="E268" t="s">
        <v>206</v>
      </c>
      <c r="F268" t="s">
        <v>2607</v>
      </c>
      <c r="G268" t="s">
        <v>2608</v>
      </c>
      <c r="H268" t="s">
        <v>2609</v>
      </c>
      <c r="I268" t="s">
        <v>2610</v>
      </c>
      <c r="J268" t="s">
        <v>3022</v>
      </c>
      <c r="K268" t="s">
        <v>2612</v>
      </c>
    </row>
    <row r="269" spans="1:11" x14ac:dyDescent="0.25">
      <c r="A269" t="s">
        <v>3023</v>
      </c>
      <c r="B269" s="18">
        <v>46258.670561203704</v>
      </c>
      <c r="C269" t="s">
        <v>118</v>
      </c>
      <c r="D269" t="s">
        <v>294</v>
      </c>
      <c r="E269" t="s">
        <v>206</v>
      </c>
      <c r="F269" t="s">
        <v>2614</v>
      </c>
      <c r="G269" t="s">
        <v>2649</v>
      </c>
      <c r="H269" t="s">
        <v>2609</v>
      </c>
      <c r="I269">
        <v>1</v>
      </c>
      <c r="J269" t="s">
        <v>3024</v>
      </c>
      <c r="K269" t="s">
        <v>2612</v>
      </c>
    </row>
    <row r="270" spans="1:11" x14ac:dyDescent="0.25">
      <c r="A270" t="s">
        <v>3025</v>
      </c>
      <c r="B270" s="18">
        <v>46258.670561203704</v>
      </c>
      <c r="C270" t="s">
        <v>122</v>
      </c>
      <c r="D270" t="s">
        <v>294</v>
      </c>
      <c r="E270" t="s">
        <v>209</v>
      </c>
      <c r="F270" t="s">
        <v>2607</v>
      </c>
      <c r="G270" t="s">
        <v>2608</v>
      </c>
      <c r="H270" t="s">
        <v>2609</v>
      </c>
      <c r="I270" t="s">
        <v>2610</v>
      </c>
      <c r="J270" t="s">
        <v>3026</v>
      </c>
      <c r="K270" t="s">
        <v>2612</v>
      </c>
    </row>
    <row r="271" spans="1:11" x14ac:dyDescent="0.25">
      <c r="A271" t="s">
        <v>3027</v>
      </c>
      <c r="B271" s="18">
        <v>46258.670561203704</v>
      </c>
      <c r="C271" t="s">
        <v>123</v>
      </c>
      <c r="D271" t="s">
        <v>294</v>
      </c>
      <c r="E271" t="s">
        <v>206</v>
      </c>
      <c r="F271" t="s">
        <v>2607</v>
      </c>
      <c r="G271" t="s">
        <v>2608</v>
      </c>
      <c r="H271" t="s">
        <v>2609</v>
      </c>
      <c r="I271" t="s">
        <v>2610</v>
      </c>
      <c r="J271" t="s">
        <v>3028</v>
      </c>
      <c r="K271" t="s">
        <v>2612</v>
      </c>
    </row>
    <row r="272" spans="1:11" x14ac:dyDescent="0.25">
      <c r="A272" t="s">
        <v>3029</v>
      </c>
      <c r="B272" s="18">
        <v>46258.670561203704</v>
      </c>
      <c r="C272" t="s">
        <v>123</v>
      </c>
      <c r="D272" t="s">
        <v>294</v>
      </c>
      <c r="E272" t="s">
        <v>209</v>
      </c>
      <c r="F272" t="s">
        <v>2607</v>
      </c>
      <c r="G272" t="s">
        <v>2608</v>
      </c>
      <c r="H272" t="s">
        <v>2609</v>
      </c>
      <c r="I272" t="s">
        <v>2610</v>
      </c>
      <c r="J272" t="s">
        <v>3030</v>
      </c>
      <c r="K272" t="s">
        <v>2612</v>
      </c>
    </row>
    <row r="273" spans="1:11" x14ac:dyDescent="0.25">
      <c r="A273" t="s">
        <v>3031</v>
      </c>
      <c r="B273" s="18">
        <v>46258.670561203704</v>
      </c>
      <c r="C273" t="s">
        <v>124</v>
      </c>
      <c r="D273" t="s">
        <v>305</v>
      </c>
      <c r="E273" t="s">
        <v>209</v>
      </c>
      <c r="F273" t="s">
        <v>2607</v>
      </c>
      <c r="G273" t="s">
        <v>2608</v>
      </c>
      <c r="H273" t="s">
        <v>2618</v>
      </c>
      <c r="I273" t="s">
        <v>2610</v>
      </c>
      <c r="J273" t="s">
        <v>3032</v>
      </c>
      <c r="K273" t="s">
        <v>2612</v>
      </c>
    </row>
    <row r="274" spans="1:11" x14ac:dyDescent="0.25">
      <c r="A274" t="s">
        <v>3033</v>
      </c>
      <c r="B274" s="18">
        <v>46258.681168587966</v>
      </c>
      <c r="C274" t="s">
        <v>94</v>
      </c>
      <c r="D274" t="s">
        <v>288</v>
      </c>
      <c r="E274" t="s">
        <v>206</v>
      </c>
      <c r="F274" t="s">
        <v>2614</v>
      </c>
      <c r="G274" t="s">
        <v>2649</v>
      </c>
      <c r="H274" t="s">
        <v>2618</v>
      </c>
      <c r="I274">
        <v>1</v>
      </c>
      <c r="J274" t="s">
        <v>3034</v>
      </c>
      <c r="K274" t="s">
        <v>2612</v>
      </c>
    </row>
    <row r="275" spans="1:11" x14ac:dyDescent="0.25">
      <c r="A275" t="s">
        <v>3035</v>
      </c>
      <c r="B275" s="18">
        <v>46258.681168599534</v>
      </c>
      <c r="C275" t="s">
        <v>121</v>
      </c>
      <c r="D275" t="s">
        <v>294</v>
      </c>
      <c r="E275" t="s">
        <v>206</v>
      </c>
      <c r="F275" t="s">
        <v>2607</v>
      </c>
      <c r="G275" t="s">
        <v>2608</v>
      </c>
      <c r="H275" t="s">
        <v>2609</v>
      </c>
      <c r="I275" t="s">
        <v>2610</v>
      </c>
      <c r="J275" t="s">
        <v>3036</v>
      </c>
      <c r="K275" t="s">
        <v>2612</v>
      </c>
    </row>
    <row r="276" spans="1:11" x14ac:dyDescent="0.25">
      <c r="A276" t="s">
        <v>3037</v>
      </c>
      <c r="B276" s="18">
        <v>46258.681168599534</v>
      </c>
      <c r="C276" t="s">
        <v>121</v>
      </c>
      <c r="D276" t="s">
        <v>294</v>
      </c>
      <c r="E276" t="s">
        <v>206</v>
      </c>
      <c r="F276" t="s">
        <v>2614</v>
      </c>
      <c r="G276" t="s">
        <v>2649</v>
      </c>
      <c r="H276" t="s">
        <v>2609</v>
      </c>
      <c r="I276">
        <v>1</v>
      </c>
      <c r="J276" t="s">
        <v>3038</v>
      </c>
      <c r="K276" t="s">
        <v>2612</v>
      </c>
    </row>
    <row r="277" spans="1:11" x14ac:dyDescent="0.25">
      <c r="A277" t="s">
        <v>3039</v>
      </c>
      <c r="B277" s="18">
        <v>46258.681168599534</v>
      </c>
      <c r="C277" t="s">
        <v>121</v>
      </c>
      <c r="D277" t="s">
        <v>294</v>
      </c>
      <c r="E277" t="s">
        <v>209</v>
      </c>
      <c r="F277" t="s">
        <v>2607</v>
      </c>
      <c r="G277" t="s">
        <v>2608</v>
      </c>
      <c r="H277" t="s">
        <v>2609</v>
      </c>
      <c r="I277" t="s">
        <v>2610</v>
      </c>
      <c r="J277" t="s">
        <v>3040</v>
      </c>
      <c r="K277" t="s">
        <v>2612</v>
      </c>
    </row>
    <row r="278" spans="1:11" x14ac:dyDescent="0.25">
      <c r="A278" t="s">
        <v>3041</v>
      </c>
      <c r="B278" s="18">
        <v>46258.681168599534</v>
      </c>
      <c r="C278" t="s">
        <v>122</v>
      </c>
      <c r="D278" t="s">
        <v>294</v>
      </c>
      <c r="E278" t="s">
        <v>209</v>
      </c>
      <c r="F278" t="s">
        <v>2614</v>
      </c>
      <c r="G278" t="s">
        <v>2649</v>
      </c>
      <c r="H278" t="s">
        <v>2609</v>
      </c>
      <c r="I278">
        <v>1</v>
      </c>
      <c r="J278" t="s">
        <v>3042</v>
      </c>
      <c r="K278" t="s">
        <v>2612</v>
      </c>
    </row>
    <row r="279" spans="1:11" x14ac:dyDescent="0.25">
      <c r="A279" t="s">
        <v>3043</v>
      </c>
      <c r="B279" s="18">
        <v>46258.681168599534</v>
      </c>
      <c r="C279" t="s">
        <v>123</v>
      </c>
      <c r="D279" t="s">
        <v>294</v>
      </c>
      <c r="E279" t="s">
        <v>206</v>
      </c>
      <c r="F279" t="s">
        <v>2607</v>
      </c>
      <c r="G279" t="s">
        <v>2608</v>
      </c>
      <c r="H279" t="s">
        <v>2609</v>
      </c>
      <c r="I279" t="s">
        <v>2610</v>
      </c>
      <c r="J279" t="s">
        <v>3044</v>
      </c>
      <c r="K279" t="s">
        <v>2612</v>
      </c>
    </row>
    <row r="280" spans="1:11" x14ac:dyDescent="0.25">
      <c r="A280" t="s">
        <v>3045</v>
      </c>
      <c r="B280" s="18">
        <v>46258.681168599534</v>
      </c>
      <c r="C280" t="s">
        <v>124</v>
      </c>
      <c r="D280" t="s">
        <v>305</v>
      </c>
      <c r="E280" t="s">
        <v>209</v>
      </c>
      <c r="F280" t="s">
        <v>2607</v>
      </c>
      <c r="G280" t="s">
        <v>2608</v>
      </c>
      <c r="H280" t="s">
        <v>2609</v>
      </c>
      <c r="I280" t="s">
        <v>2610</v>
      </c>
      <c r="J280" t="s">
        <v>3046</v>
      </c>
      <c r="K280" t="s">
        <v>2612</v>
      </c>
    </row>
    <row r="281" spans="1:11" x14ac:dyDescent="0.25">
      <c r="A281" t="s">
        <v>3047</v>
      </c>
      <c r="B281" s="18">
        <v>46258.691740740745</v>
      </c>
      <c r="C281" t="s">
        <v>96</v>
      </c>
      <c r="D281" t="s">
        <v>288</v>
      </c>
      <c r="E281" t="s">
        <v>209</v>
      </c>
      <c r="F281" t="s">
        <v>2607</v>
      </c>
      <c r="G281" t="s">
        <v>2608</v>
      </c>
      <c r="H281" t="s">
        <v>2618</v>
      </c>
      <c r="I281" t="s">
        <v>2610</v>
      </c>
      <c r="J281" t="s">
        <v>3048</v>
      </c>
      <c r="K281" t="s">
        <v>2612</v>
      </c>
    </row>
    <row r="282" spans="1:11" x14ac:dyDescent="0.25">
      <c r="A282" t="s">
        <v>3049</v>
      </c>
      <c r="B282" s="18">
        <v>46258.7023406713</v>
      </c>
      <c r="C282" t="s">
        <v>96</v>
      </c>
      <c r="D282" t="s">
        <v>288</v>
      </c>
      <c r="E282" t="s">
        <v>206</v>
      </c>
      <c r="F282" t="s">
        <v>2607</v>
      </c>
      <c r="G282" t="s">
        <v>2608</v>
      </c>
      <c r="H282" t="s">
        <v>2609</v>
      </c>
      <c r="I282" t="s">
        <v>2610</v>
      </c>
      <c r="J282" t="s">
        <v>3050</v>
      </c>
      <c r="K282" t="s">
        <v>2612</v>
      </c>
    </row>
    <row r="283" spans="1:11" x14ac:dyDescent="0.25">
      <c r="A283" t="s">
        <v>3051</v>
      </c>
      <c r="B283" s="18">
        <v>46258.7023406713</v>
      </c>
      <c r="C283" t="s">
        <v>119</v>
      </c>
      <c r="D283" t="s">
        <v>294</v>
      </c>
      <c r="E283" t="s">
        <v>206</v>
      </c>
      <c r="F283" t="s">
        <v>2607</v>
      </c>
      <c r="G283" t="s">
        <v>2608</v>
      </c>
      <c r="H283" t="s">
        <v>2618</v>
      </c>
      <c r="I283" t="s">
        <v>2610</v>
      </c>
      <c r="J283" t="s">
        <v>3052</v>
      </c>
      <c r="K283" t="s">
        <v>2612</v>
      </c>
    </row>
    <row r="284" spans="1:11" x14ac:dyDescent="0.25">
      <c r="A284" t="s">
        <v>3053</v>
      </c>
      <c r="B284" s="18">
        <v>46258.71288101852</v>
      </c>
      <c r="C284" t="s">
        <v>122</v>
      </c>
      <c r="D284" t="s">
        <v>294</v>
      </c>
      <c r="E284" t="s">
        <v>206</v>
      </c>
      <c r="F284" t="s">
        <v>2614</v>
      </c>
      <c r="G284" t="s">
        <v>2649</v>
      </c>
      <c r="H284" t="s">
        <v>2618</v>
      </c>
      <c r="I284">
        <v>1</v>
      </c>
      <c r="J284" t="s">
        <v>3054</v>
      </c>
      <c r="K284" t="s">
        <v>2612</v>
      </c>
    </row>
    <row r="285" spans="1:11" x14ac:dyDescent="0.25">
      <c r="A285" t="s">
        <v>3055</v>
      </c>
      <c r="B285" s="18">
        <v>46258.71288101852</v>
      </c>
      <c r="C285" t="s">
        <v>124</v>
      </c>
      <c r="D285" t="s">
        <v>305</v>
      </c>
      <c r="E285" t="s">
        <v>206</v>
      </c>
      <c r="F285" t="s">
        <v>2614</v>
      </c>
      <c r="G285" t="s">
        <v>2649</v>
      </c>
      <c r="H285" t="s">
        <v>2618</v>
      </c>
      <c r="I285">
        <v>1</v>
      </c>
      <c r="J285" t="s">
        <v>3056</v>
      </c>
      <c r="K285" t="s">
        <v>2612</v>
      </c>
    </row>
    <row r="286" spans="1:11" x14ac:dyDescent="0.25">
      <c r="A286" t="s">
        <v>3057</v>
      </c>
      <c r="B286" s="18">
        <v>46258.72342630787</v>
      </c>
      <c r="C286" t="s">
        <v>96</v>
      </c>
      <c r="D286" t="s">
        <v>288</v>
      </c>
      <c r="E286" t="s">
        <v>206</v>
      </c>
      <c r="F286" t="s">
        <v>2614</v>
      </c>
      <c r="G286" t="s">
        <v>2649</v>
      </c>
      <c r="H286" t="s">
        <v>2618</v>
      </c>
      <c r="I286">
        <v>1</v>
      </c>
      <c r="J286" t="s">
        <v>3058</v>
      </c>
      <c r="K286" t="s">
        <v>2612</v>
      </c>
    </row>
    <row r="287" spans="1:11" x14ac:dyDescent="0.25">
      <c r="A287" t="s">
        <v>3059</v>
      </c>
      <c r="B287" s="18">
        <v>46258.72342630787</v>
      </c>
      <c r="C287" t="s">
        <v>119</v>
      </c>
      <c r="D287" t="s">
        <v>294</v>
      </c>
      <c r="E287" t="s">
        <v>209</v>
      </c>
      <c r="F287" t="s">
        <v>2607</v>
      </c>
      <c r="G287" t="s">
        <v>2608</v>
      </c>
      <c r="H287" t="s">
        <v>2618</v>
      </c>
      <c r="I287" t="s">
        <v>2610</v>
      </c>
      <c r="J287" t="s">
        <v>3060</v>
      </c>
      <c r="K287" t="s">
        <v>2612</v>
      </c>
    </row>
    <row r="288" spans="1:11" x14ac:dyDescent="0.25">
      <c r="A288" t="s">
        <v>3061</v>
      </c>
      <c r="B288" s="18">
        <v>46258.72342630787</v>
      </c>
      <c r="C288" t="s">
        <v>120</v>
      </c>
      <c r="D288" t="s">
        <v>294</v>
      </c>
      <c r="E288" t="s">
        <v>206</v>
      </c>
      <c r="F288" t="s">
        <v>2614</v>
      </c>
      <c r="G288" t="s">
        <v>2649</v>
      </c>
      <c r="H288" t="s">
        <v>2618</v>
      </c>
      <c r="I288">
        <v>1</v>
      </c>
      <c r="J288" t="s">
        <v>3062</v>
      </c>
      <c r="K288" t="s">
        <v>2612</v>
      </c>
    </row>
    <row r="289" spans="1:11" x14ac:dyDescent="0.25">
      <c r="A289" t="s">
        <v>3063</v>
      </c>
      <c r="B289" s="18">
        <v>46258.72342630787</v>
      </c>
      <c r="C289" t="s">
        <v>120</v>
      </c>
      <c r="D289" t="s">
        <v>294</v>
      </c>
      <c r="E289" t="s">
        <v>209</v>
      </c>
      <c r="F289" t="s">
        <v>2607</v>
      </c>
      <c r="G289" t="s">
        <v>2608</v>
      </c>
      <c r="H289" t="s">
        <v>2618</v>
      </c>
      <c r="I289" t="s">
        <v>2610</v>
      </c>
      <c r="J289" t="s">
        <v>3064</v>
      </c>
      <c r="K289" t="s">
        <v>2612</v>
      </c>
    </row>
    <row r="290" spans="1:11" x14ac:dyDescent="0.25">
      <c r="A290" t="s">
        <v>3065</v>
      </c>
      <c r="B290" s="18">
        <v>46258.72342630787</v>
      </c>
      <c r="C290" t="s">
        <v>124</v>
      </c>
      <c r="D290" t="s">
        <v>305</v>
      </c>
      <c r="E290" t="s">
        <v>209</v>
      </c>
      <c r="F290" t="s">
        <v>2607</v>
      </c>
      <c r="G290" t="s">
        <v>2608</v>
      </c>
      <c r="H290" t="s">
        <v>2609</v>
      </c>
      <c r="I290" t="s">
        <v>2610</v>
      </c>
      <c r="J290" t="s">
        <v>3066</v>
      </c>
      <c r="K290" t="s">
        <v>2612</v>
      </c>
    </row>
    <row r="291" spans="1:11" x14ac:dyDescent="0.25">
      <c r="A291" t="s">
        <v>3067</v>
      </c>
      <c r="B291" s="18">
        <v>46258.72342630787</v>
      </c>
      <c r="C291" t="s">
        <v>125</v>
      </c>
      <c r="D291" t="s">
        <v>305</v>
      </c>
      <c r="E291" t="s">
        <v>206</v>
      </c>
      <c r="F291" t="s">
        <v>2607</v>
      </c>
      <c r="G291" t="s">
        <v>2608</v>
      </c>
      <c r="H291" t="s">
        <v>2609</v>
      </c>
      <c r="I291" t="s">
        <v>2610</v>
      </c>
      <c r="J291" t="s">
        <v>3068</v>
      </c>
      <c r="K291" t="s">
        <v>2612</v>
      </c>
    </row>
    <row r="292" spans="1:11" x14ac:dyDescent="0.25">
      <c r="A292" t="s">
        <v>3069</v>
      </c>
      <c r="B292" s="18">
        <v>46258.734054050925</v>
      </c>
      <c r="C292" t="s">
        <v>119</v>
      </c>
      <c r="D292" t="s">
        <v>294</v>
      </c>
      <c r="E292" t="s">
        <v>206</v>
      </c>
      <c r="F292" t="s">
        <v>2614</v>
      </c>
      <c r="G292" t="s">
        <v>2649</v>
      </c>
      <c r="H292" t="s">
        <v>2618</v>
      </c>
      <c r="I292">
        <v>1</v>
      </c>
      <c r="J292" t="s">
        <v>3070</v>
      </c>
      <c r="K292" t="s">
        <v>2612</v>
      </c>
    </row>
    <row r="293" spans="1:11" x14ac:dyDescent="0.25">
      <c r="A293" t="s">
        <v>3071</v>
      </c>
      <c r="B293" s="18">
        <v>46258.76243349537</v>
      </c>
      <c r="C293" t="s">
        <v>92</v>
      </c>
      <c r="D293" t="s">
        <v>288</v>
      </c>
      <c r="E293" t="s">
        <v>206</v>
      </c>
      <c r="F293" t="s">
        <v>2607</v>
      </c>
      <c r="G293" t="s">
        <v>2608</v>
      </c>
      <c r="H293" t="s">
        <v>2609</v>
      </c>
      <c r="I293" t="s">
        <v>2610</v>
      </c>
      <c r="J293" t="s">
        <v>3072</v>
      </c>
      <c r="K293" t="s">
        <v>2612</v>
      </c>
    </row>
    <row r="294" spans="1:11" x14ac:dyDescent="0.25">
      <c r="A294" t="s">
        <v>3073</v>
      </c>
      <c r="B294" s="18">
        <v>46258.76243349537</v>
      </c>
      <c r="C294" t="s">
        <v>95</v>
      </c>
      <c r="D294" t="s">
        <v>288</v>
      </c>
      <c r="E294" t="s">
        <v>206</v>
      </c>
      <c r="F294" t="s">
        <v>2607</v>
      </c>
      <c r="G294" t="s">
        <v>2608</v>
      </c>
      <c r="H294" t="s">
        <v>2609</v>
      </c>
      <c r="I294" t="s">
        <v>2610</v>
      </c>
      <c r="J294" t="s">
        <v>3074</v>
      </c>
      <c r="K294" t="s">
        <v>2612</v>
      </c>
    </row>
    <row r="295" spans="1:11" x14ac:dyDescent="0.25">
      <c r="A295" t="s">
        <v>3075</v>
      </c>
      <c r="B295" s="18">
        <v>46258.76243349537</v>
      </c>
      <c r="C295" t="s">
        <v>117</v>
      </c>
      <c r="D295" t="s">
        <v>294</v>
      </c>
      <c r="E295" t="s">
        <v>209</v>
      </c>
      <c r="F295" t="s">
        <v>2607</v>
      </c>
      <c r="G295" t="s">
        <v>2608</v>
      </c>
      <c r="H295" t="s">
        <v>2609</v>
      </c>
      <c r="I295" t="s">
        <v>2610</v>
      </c>
      <c r="J295" t="s">
        <v>3076</v>
      </c>
      <c r="K295" t="s">
        <v>2612</v>
      </c>
    </row>
    <row r="296" spans="1:11" x14ac:dyDescent="0.25">
      <c r="A296" t="s">
        <v>3077</v>
      </c>
      <c r="B296" s="18">
        <v>46258.76243349537</v>
      </c>
      <c r="C296" t="s">
        <v>118</v>
      </c>
      <c r="D296" t="s">
        <v>294</v>
      </c>
      <c r="E296" t="s">
        <v>206</v>
      </c>
      <c r="F296" t="s">
        <v>2607</v>
      </c>
      <c r="G296" t="s">
        <v>2608</v>
      </c>
      <c r="H296" t="s">
        <v>2609</v>
      </c>
      <c r="I296" t="s">
        <v>2610</v>
      </c>
      <c r="J296" t="s">
        <v>3078</v>
      </c>
      <c r="K296" t="s">
        <v>2612</v>
      </c>
    </row>
    <row r="297" spans="1:11" x14ac:dyDescent="0.25">
      <c r="A297" t="s">
        <v>3079</v>
      </c>
      <c r="B297" s="18">
        <v>46258.76243349537</v>
      </c>
      <c r="C297" t="s">
        <v>119</v>
      </c>
      <c r="D297" t="s">
        <v>294</v>
      </c>
      <c r="E297" t="s">
        <v>209</v>
      </c>
      <c r="F297" t="s">
        <v>2607</v>
      </c>
      <c r="G297" t="s">
        <v>2608</v>
      </c>
      <c r="H297" t="s">
        <v>2609</v>
      </c>
      <c r="I297" t="s">
        <v>2610</v>
      </c>
      <c r="J297" t="s">
        <v>3080</v>
      </c>
      <c r="K297" t="s">
        <v>2612</v>
      </c>
    </row>
    <row r="298" spans="1:11" x14ac:dyDescent="0.25">
      <c r="A298" t="s">
        <v>3081</v>
      </c>
      <c r="B298" s="18">
        <v>46258.76243349537</v>
      </c>
      <c r="C298" t="s">
        <v>120</v>
      </c>
      <c r="D298" t="s">
        <v>294</v>
      </c>
      <c r="E298" t="s">
        <v>206</v>
      </c>
      <c r="F298" t="s">
        <v>2607</v>
      </c>
      <c r="G298" t="s">
        <v>2608</v>
      </c>
      <c r="H298" t="s">
        <v>2609</v>
      </c>
      <c r="I298" t="s">
        <v>2610</v>
      </c>
      <c r="J298" t="s">
        <v>3082</v>
      </c>
      <c r="K298" t="s">
        <v>2612</v>
      </c>
    </row>
    <row r="299" spans="1:11" x14ac:dyDescent="0.25">
      <c r="A299" t="s">
        <v>3083</v>
      </c>
      <c r="B299" s="18">
        <v>46258.76243349537</v>
      </c>
      <c r="C299" t="s">
        <v>123</v>
      </c>
      <c r="D299" t="s">
        <v>294</v>
      </c>
      <c r="E299" t="s">
        <v>209</v>
      </c>
      <c r="F299" t="s">
        <v>2614</v>
      </c>
      <c r="G299" t="s">
        <v>2649</v>
      </c>
      <c r="H299" t="s">
        <v>2618</v>
      </c>
      <c r="I299">
        <v>1</v>
      </c>
      <c r="J299" t="s">
        <v>3084</v>
      </c>
      <c r="K299" t="s">
        <v>2612</v>
      </c>
    </row>
    <row r="300" spans="1:11" x14ac:dyDescent="0.25">
      <c r="A300" t="s">
        <v>3085</v>
      </c>
      <c r="B300" s="18">
        <v>46258.773041064815</v>
      </c>
      <c r="C300" t="s">
        <v>118</v>
      </c>
      <c r="D300" t="s">
        <v>294</v>
      </c>
      <c r="E300" t="s">
        <v>209</v>
      </c>
      <c r="F300" t="s">
        <v>2614</v>
      </c>
      <c r="G300" t="s">
        <v>2649</v>
      </c>
      <c r="H300" t="s">
        <v>2609</v>
      </c>
      <c r="I300">
        <v>1</v>
      </c>
      <c r="J300" t="s">
        <v>3086</v>
      </c>
      <c r="K300" t="s">
        <v>2612</v>
      </c>
    </row>
    <row r="301" spans="1:11" x14ac:dyDescent="0.25">
      <c r="A301" t="s">
        <v>3087</v>
      </c>
      <c r="B301" s="18">
        <v>46258.773041064815</v>
      </c>
      <c r="C301" t="s">
        <v>119</v>
      </c>
      <c r="D301" t="s">
        <v>294</v>
      </c>
      <c r="E301" t="s">
        <v>206</v>
      </c>
      <c r="F301" t="s">
        <v>2614</v>
      </c>
      <c r="G301" t="s">
        <v>2649</v>
      </c>
      <c r="H301" t="s">
        <v>2609</v>
      </c>
      <c r="I301">
        <v>1</v>
      </c>
      <c r="J301" t="s">
        <v>3088</v>
      </c>
      <c r="K301" t="s">
        <v>2612</v>
      </c>
    </row>
    <row r="302" spans="1:11" x14ac:dyDescent="0.25">
      <c r="A302" t="s">
        <v>3089</v>
      </c>
      <c r="B302" s="18">
        <v>46258.773041064815</v>
      </c>
      <c r="C302" t="s">
        <v>120</v>
      </c>
      <c r="D302" t="s">
        <v>294</v>
      </c>
      <c r="E302" t="s">
        <v>206</v>
      </c>
      <c r="F302" t="s">
        <v>2607</v>
      </c>
      <c r="G302" t="s">
        <v>2608</v>
      </c>
      <c r="H302" t="s">
        <v>2609</v>
      </c>
      <c r="I302" t="s">
        <v>2610</v>
      </c>
      <c r="J302" t="s">
        <v>3090</v>
      </c>
      <c r="K302" t="s">
        <v>2612</v>
      </c>
    </row>
    <row r="303" spans="1:11" x14ac:dyDescent="0.25">
      <c r="A303" t="s">
        <v>3091</v>
      </c>
      <c r="B303" s="18">
        <v>46258.773041064815</v>
      </c>
      <c r="C303" t="s">
        <v>123</v>
      </c>
      <c r="D303" t="s">
        <v>294</v>
      </c>
      <c r="E303" t="s">
        <v>206</v>
      </c>
      <c r="F303" t="s">
        <v>2607</v>
      </c>
      <c r="G303" t="s">
        <v>2608</v>
      </c>
      <c r="H303" t="s">
        <v>2609</v>
      </c>
      <c r="I303" t="s">
        <v>2610</v>
      </c>
      <c r="J303" t="s">
        <v>3092</v>
      </c>
      <c r="K303" t="s">
        <v>2612</v>
      </c>
    </row>
    <row r="304" spans="1:11" x14ac:dyDescent="0.25">
      <c r="A304" t="s">
        <v>3093</v>
      </c>
      <c r="B304" s="18">
        <v>46258.773041064815</v>
      </c>
      <c r="C304" t="s">
        <v>125</v>
      </c>
      <c r="D304" t="s">
        <v>305</v>
      </c>
      <c r="E304" t="s">
        <v>206</v>
      </c>
      <c r="F304" t="s">
        <v>2607</v>
      </c>
      <c r="G304" t="s">
        <v>2608</v>
      </c>
      <c r="H304" t="s">
        <v>2609</v>
      </c>
      <c r="I304" t="s">
        <v>2610</v>
      </c>
      <c r="J304" t="s">
        <v>3094</v>
      </c>
      <c r="K304" t="s">
        <v>2612</v>
      </c>
    </row>
  </sheetData>
  <autoFilter ref="A4:K64"/>
  <conditionalFormatting sqref="H5:H64">
    <cfRule type="cellIs" dxfId="7" priority="2" operator="equal">
      <formula>"ALCISTA"</formula>
    </cfRule>
    <cfRule type="cellIs" dxfId="8" priority="3" operator="equal">
      <formula>"BAJISTA"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Monitorizacion</vt:lpstr>
      <vt:lpstr>Niveles_Importancia</vt:lpstr>
      <vt:lpstr>Universo_Activos</vt:lpstr>
      <vt:lpstr>Historico_Alertas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2026-07-02T18:36:07Z</dcterms:created>
  <dcterms:modified xsi:type="dcterms:W3CDTF">2026-07-31T18:15:52Z</dcterms:modified>
</cp:coreProperties>
</file>